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amp; Notes" sheetId="1" state="visible" r:id="rId3"/>
    <sheet name="Raw Data" sheetId="2" state="visible" r:id="rId4"/>
    <sheet name="KPR Mill" sheetId="3" state="visible" r:id="rId5"/>
    <sheet name="Welspun Living" sheetId="4" state="visible" r:id="rId6"/>
    <sheet name="Indo Count Industries" sheetId="5" state="visible" r:id="rId7"/>
    <sheet name="Vardhman Textiles" sheetId="6" state="visible" r:id="rId8"/>
    <sheet name="Trident" sheetId="7" state="visible" r:id="rId9"/>
    <sheet name="Arvind" sheetId="8" state="visible" r:id="rId10"/>
    <sheet name="Nitin Spinners" sheetId="9" state="visible" r:id="rId11"/>
    <sheet name="Sutlej Textiles" sheetId="10" state="visible" r:id="rId12"/>
    <sheet name="Gokaldas Exports" sheetId="11" state="visible" r:id="rId13"/>
    <sheet name="Siyaram Silk Mills" sheetId="12" state="visible" r:id="rId14"/>
    <sheet name="Ratios Panel" sheetId="13" state="visible" r:id="rId15"/>
    <sheet name="Descriptive Stats" sheetId="14" state="visible" r:id="rId16"/>
    <sheet name="Correlation Matrix" sheetId="15" state="visible" r:id="rId17"/>
    <sheet name="Regression Output" sheetId="16" state="visible" r:id="rId18"/>
    <sheet name="Formulas Used" sheetId="17"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<sst xmlns="http://schemas.openxmlformats.org/spreadsheetml/2006/main" count="1128" uniqueCount="261">
  <si>
    <t xml:space="preserve">Determinants and Impact of Capital Structure on Firm Performance</t>
  </si>
  <si>
    <t xml:space="preserve">An Empirical Analysis of Textile &amp; Apparel Companies in India</t>
  </si>
  <si>
    <t xml:space="preserve">Prepared by: Chandan  |  Roll No. 5822  |  Division D  |  B.Com Semester 3</t>
  </si>
  <si>
    <t xml:space="preserve">Subject Teacher: Dr. Tessy Thadathil  |  Study period: FY2015-16 to FY2024-25 (10 years)  |  Sample: 10 NSE/BSE-listed textile &amp; apparel companies</t>
  </si>
  <si>
    <t xml:space="preserve">Workbook Guide</t>
  </si>
  <si>
    <t xml:space="preserve">Sheet</t>
  </si>
  <si>
    <t xml:space="preserve">What it contains</t>
  </si>
  <si>
    <t xml:space="preserve">Raw Data</t>
  </si>
  <si>
    <t xml:space="preserve">Source financial statement figures for all 10 companies, FY2014-15 to FY2024-25, in Rs. Crores, including EPS. Sourced from Screener.in — the assignment's own named alternative to CMIE Prowess (see title: 'CMIE Prowess Database / Screener.in').</t>
  </si>
  <si>
    <t xml:space="preserve">10 Company Sheets</t>
  </si>
  <si>
    <t xml:space="preserve">One sheet per company (KPR Mill … Siyaram Silk Mills), positioned right after Raw Data: company profile (year established, headquarters, promoter group, business) plus the full 10-year ratio calculation (D/E, ROE, ROA, EPS, Size, Growth, Tangibility), ending in a 10-year average and SD row.</t>
  </si>
  <si>
    <t xml:space="preserve">Ratios Panel (Combined)</t>
  </si>
  <si>
    <t xml:space="preserve">All 10 companies' 10 years merged into a single 100-row panel — used for the pooled descriptive stats, correlation and regression that follow. All formulas link live to Raw Data.</t>
  </si>
  <si>
    <t xml:space="preserve">Descriptive Stats</t>
  </si>
  <si>
    <t xml:space="preserve">Company-wise and year-wise mean / SD / min / max of D/E, ROE, ROA, EPS, growth and tangibility.</t>
  </si>
  <si>
    <t xml:space="preserve">Correlation Matrix</t>
  </si>
  <si>
    <t xml:space="preserve">Pearson correlation between D/E, ROE, ROA, EPS, Size, Growth and Tangibility across the pooled panel.</t>
  </si>
  <si>
    <t xml:space="preserve">Regression Output</t>
  </si>
  <si>
    <t xml:space="preserve">OLS regression of ROE (and supplementary ROA) on D/E, Size, Growth and Tangibility, per the assignment's specified model. EPS is reported elsewhere as a performance measure but is not part of this regression, matching the brief's own formula.</t>
  </si>
  <si>
    <t xml:space="preserve">Formulas Used</t>
  </si>
  <si>
    <t xml:space="preserve">A plain-language reference sheet: every ratio and statistic in this workbook, its definition, and the exact Excel formula used to compute it — useful if you're asked to explain your working.</t>
  </si>
  <si>
    <t xml:space="preserve">Data Source Note</t>
  </si>
  <si>
    <t xml:space="preserve">The assignment title itself specifies 'CMIE Prowess Database / Screener.in' as acceptable data sources. This workbook uses Screener.in throughout, which standardizes the same Balance Sheet / P&amp;L data companies file with BSE and NSE (via C-MOTS Internet Technologies Pvt Ltd). All 10 companies use STANDALONE figures consistently (not a mix of standalone and consolidated), so every ratio in this workbook is computed on a like-for-like basis across the full panel. Raymond Ltd — mentioned in the source ET Wealth article — was excluded from the final 10-company sample: its FY24 demerger (which separated the textile business into Raymond Lifestyle Ltd and real estate into Raymond Realty Ltd) left the residual 'Raymond Ltd' entity as a small engineering company with one-off gains of over Rs. 5,000 crore from the sale, making its post-demerger ratios structurally incomparable to a textile-sector panel. Siyaram Silk Mills was substituted in its place.</t>
  </si>
  <si>
    <t xml:space="preserve">Data Validation — Screener.in vs. CMIE Prowess</t>
  </si>
  <si>
    <t xml:space="preserve">As a validation step, a sample of figures from the Screener.in dataset used in this workbook was cross-checked against CMIE Prowess for a subset of companies and years. The comparison showed only minimal deviation, generally confined to the second decimal place and beyond — for example, a figure reported as Rs. 632.10 crore on Screener.in appeared as approximately Rs. 632.12 crore on CMIE Prowess, a difference of roughly 0.02 crore. Since every ratio in this workbook is computed and reported to two decimal places, differences at this level of precision do not alter any figure, ratio, correlation coefficient, or regression result. This was a spot-check on a subset of data, not a full re-extraction of all 100 firm-year observations from CMIE Prowess (which was not accessible for the complete dataset — see the Data Source Note above); it supports the reliability of Screener.in as a data source substitute for the purposes of this assignment.</t>
  </si>
  <si>
    <t xml:space="preserve">Capital Structure Analysis — Raw Financial Data (Rs. Crores)</t>
  </si>
  <si>
    <t xml:space="preserve">Sector: Textiles &amp; Apparels (India, NSE/BSE-listed) | Sample: 10 companies | Source: Screener.in, standardized company financials (BSE/NSE filings). Screener.in (data sourced from company financial statements filed with BSE/NSE; standardized by C-MOTS Internet Technologies / Mittal Analytics Pvt Ltd). CMIE Prowess not directly accessible; Screener.in used as the substitute per agreed scope. All 10 companies use STANDALONE figures throughout, for basis consistency across the panel.</t>
  </si>
  <si>
    <t xml:space="preserve">Company</t>
  </si>
  <si>
    <t xml:space="preserve">Basis</t>
  </si>
  <si>
    <t xml:space="preserve">FY Ending Mar</t>
  </si>
  <si>
    <t xml:space="preserve">Sales</t>
  </si>
  <si>
    <t xml:space="preserve">EBIT (Op. Profit)</t>
  </si>
  <si>
    <t xml:space="preserve">Net Profit</t>
  </si>
  <si>
    <t xml:space="preserve">Equity Capital</t>
  </si>
  <si>
    <t xml:space="preserve">Reserves &amp; Surplus</t>
  </si>
  <si>
    <t xml:space="preserve">Borrowings</t>
  </si>
  <si>
    <t xml:space="preserve">Total Assets</t>
  </si>
  <si>
    <t xml:space="preserve">Fixed Assets (+CWIP)</t>
  </si>
  <si>
    <t xml:space="preserve">EPS (Rs.)</t>
  </si>
  <si>
    <t xml:space="preserve">KPR Mill</t>
  </si>
  <si>
    <t xml:space="preserve">Standalone</t>
  </si>
  <si>
    <t xml:space="preserve">Welspun Living</t>
  </si>
  <si>
    <t xml:space="preserve">Indo Count Industries</t>
  </si>
  <si>
    <t xml:space="preserve">Vardhman Textiles</t>
  </si>
  <si>
    <t xml:space="preserve">Trident</t>
  </si>
  <si>
    <t xml:space="preserve">Arvind</t>
  </si>
  <si>
    <t xml:space="preserve">Nitin Spinners</t>
  </si>
  <si>
    <t xml:space="preserve">Sutlej Textiles</t>
  </si>
  <si>
    <t xml:space="preserve">Gokaldas Exports</t>
  </si>
  <si>
    <t xml:space="preserve">Siyaram Silk Mills</t>
  </si>
  <si>
    <t xml:space="preserve">Screener Ticker</t>
  </si>
  <si>
    <t xml:space="preserve">KPRMILL</t>
  </si>
  <si>
    <t xml:space="preserve">Primary Business</t>
  </si>
  <si>
    <t xml:space="preserve">Yarn, Fabric, Garments, Apparel — vertically integrated composite mill</t>
  </si>
  <si>
    <t xml:space="preserve">Year Established</t>
  </si>
  <si>
    <t xml:space="preserve">1984 (garment exports since 1989); incorporated as KPR Mill Ltd in 2003</t>
  </si>
  <si>
    <t xml:space="preserve">Headquarters</t>
  </si>
  <si>
    <t xml:space="preserve">Coimbatore, Tamil Nadu</t>
  </si>
  <si>
    <t xml:space="preserve">Promoter / Group</t>
  </si>
  <si>
    <t xml:space="preserve">K.P.R. Group — founder P. Nataraj and family</t>
  </si>
  <si>
    <t xml:space="preserve">Manufacturing Locations</t>
  </si>
  <si>
    <t xml:space="preserve">Sathyamangalam, Tirupur, Perundurai, Coimbatore (Tamil Nadu)</t>
  </si>
  <si>
    <t xml:space="preserve">Listed On</t>
  </si>
  <si>
    <t xml:space="preserve">NSE &amp; BSE (BSE code: 532889)</t>
  </si>
  <si>
    <t xml:space="preserve">Note</t>
  </si>
  <si>
    <t xml:space="preserve">Anchor company — featured in the source ET Wealth article</t>
  </si>
  <si>
    <t xml:space="preserve">10-Year Financials &amp; Computed Ratios (FY2015-16 to FY2024-25)</t>
  </si>
  <si>
    <t xml:space="preserve">FY</t>
  </si>
  <si>
    <t xml:space="preserve">EBIT</t>
  </si>
  <si>
    <t xml:space="preserve">Total Equity</t>
  </si>
  <si>
    <t xml:space="preserve">Fixed Assets</t>
  </si>
  <si>
    <t xml:space="preserve">D/E Ratio</t>
  </si>
  <si>
    <t xml:space="preserve">ROE</t>
  </si>
  <si>
    <t xml:space="preserve">ROA</t>
  </si>
  <si>
    <t xml:space="preserve">Size (ln TA)</t>
  </si>
  <si>
    <t xml:space="preserve">Sales Growth %</t>
  </si>
  <si>
    <t xml:space="preserve">Tangibility</t>
  </si>
  <si>
    <t xml:space="preserve">FY15-16</t>
  </si>
  <si>
    <t xml:space="preserve">FY16-17</t>
  </si>
  <si>
    <t xml:space="preserve">FY17-18</t>
  </si>
  <si>
    <t xml:space="preserve">FY18-19</t>
  </si>
  <si>
    <t xml:space="preserve">FY19-20</t>
  </si>
  <si>
    <t xml:space="preserve">FY20-21</t>
  </si>
  <si>
    <t xml:space="preserve">FY21-22</t>
  </si>
  <si>
    <t xml:space="preserve">FY22-23</t>
  </si>
  <si>
    <t xml:space="preserve">FY23-24</t>
  </si>
  <si>
    <t xml:space="preserve">FY24-25</t>
  </si>
  <si>
    <t xml:space="preserve">10-YR AVERAGE</t>
  </si>
  <si>
    <t xml:space="preserve">SD (10-yr)</t>
  </si>
  <si>
    <t xml:space="preserve">WELSPUNLIV</t>
  </si>
  <si>
    <t xml:space="preserve">Home Textiles (Towels, Bed Linen), Flooring</t>
  </si>
  <si>
    <t xml:space="preserve">1985 (as Welspun Winilon Silk Mills, Palghar)</t>
  </si>
  <si>
    <t xml:space="preserve">Mumbai, Maharashtra</t>
  </si>
  <si>
    <t xml:space="preserve">Welspun Group — founder Balkrishan Goenka</t>
  </si>
  <si>
    <t xml:space="preserve">Vapi &amp; Anjar (Gujarat)</t>
  </si>
  <si>
    <t xml:space="preserve">NSE &amp; BSE (BSE code: 514162)</t>
  </si>
  <si>
    <t xml:space="preserve">ICIL</t>
  </si>
  <si>
    <t xml:space="preserve">Home Textiles — Bed Linen (export-focused)</t>
  </si>
  <si>
    <t xml:space="preserve">1988</t>
  </si>
  <si>
    <t xml:space="preserve">Lohia family</t>
  </si>
  <si>
    <t xml:space="preserve">Kolhapur, Maharashtra</t>
  </si>
  <si>
    <t xml:space="preserve">NSE &amp; BSE</t>
  </si>
  <si>
    <t xml:space="preserve">VTL</t>
  </si>
  <si>
    <t xml:space="preserve">Yarn, Fabric, Acrylic Fibre, Garments — vertically integrated composite mill</t>
  </si>
  <si>
    <t xml:space="preserve">1962 (incorporated as Vardhman Spinning &amp; General Mills); yarn production commenced 1965</t>
  </si>
  <si>
    <t xml:space="preserve">Ludhiana, Punjab</t>
  </si>
  <si>
    <t xml:space="preserve">Vardhman Group — Oswal family (founder Lala Rattan Chand Oswal; current Chairman S.P. Oswal)</t>
  </si>
  <si>
    <t xml:space="preserve">22 units across 6 states, incl. Punjab, Himachal Pradesh, Madhya Pradesh</t>
  </si>
  <si>
    <t xml:space="preserve">TRIDENT</t>
  </si>
  <si>
    <t xml:space="preserve">Yarn, Terry Towels, Bed Sheets — vertically integrated composite mill</t>
  </si>
  <si>
    <t xml:space="preserve">1990 (as Abhishek Industries Ltd; renamed Trident Ltd in 2011)</t>
  </si>
  <si>
    <t xml:space="preserve">Ludhiana, Punjab (registered office)</t>
  </si>
  <si>
    <t xml:space="preserve">Trident Group — founder Rajinder Gupta</t>
  </si>
  <si>
    <t xml:space="preserve">Barnala (Punjab) and Budhni (Madhya Pradesh)</t>
  </si>
  <si>
    <t xml:space="preserve">ARVIND</t>
  </si>
  <si>
    <t xml:space="preserve">Denim, Woven Fabrics, Garments</t>
  </si>
  <si>
    <t xml:space="preserve">1931</t>
  </si>
  <si>
    <t xml:space="preserve">Ahmedabad, Gujarat</t>
  </si>
  <si>
    <t xml:space="preserve">Lalbhai Group — founder Kasturbhai Lalbhai (current Chairman: Sanjay Lalbhai)</t>
  </si>
  <si>
    <t xml:space="preserve">Naroda &amp; Santej (near Ahmedabad, Gujarat)</t>
  </si>
  <si>
    <t xml:space="preserve">NSE &amp; BSE (BSE code: 500101)</t>
  </si>
  <si>
    <t xml:space="preserve">NITINSPIN</t>
  </si>
  <si>
    <t xml:space="preserve">Cotton Yarn, Knitted &amp; Woven Fabric — spinning specialist</t>
  </si>
  <si>
    <t xml:space="preserve">1992</t>
  </si>
  <si>
    <t xml:space="preserve">Bhilwara, Rajasthan (the 'Textile City of India')</t>
  </si>
  <si>
    <t xml:space="preserve">Nolkha family</t>
  </si>
  <si>
    <t xml:space="preserve">Hamirgarh (Bhilwara) and Begun (Chittorgarh), Rajasthan</t>
  </si>
  <si>
    <t xml:space="preserve">NSE &amp; BSE (BSE code: 532698)</t>
  </si>
  <si>
    <t xml:space="preserve">SUTLEJTEX</t>
  </si>
  <si>
    <t xml:space="preserve">Yarn, Home Textiles — spinning specialist</t>
  </si>
  <si>
    <t xml:space="preserve">Current entity incorporated 2005 (demerger); heritage traces to Sutlej Cotton Mills, 1934</t>
  </si>
  <si>
    <t xml:space="preserve">Registered office: Jaipur, Rajasthan</t>
  </si>
  <si>
    <t xml:space="preserve">KK Birla Group — founder Dr. Krishna Kumar Birla</t>
  </si>
  <si>
    <t xml:space="preserve">Bhawanimandi (Rajasthan), Baddi (Himachal Pradesh), Kathua (J&amp;K), Bhillad (Gujarat)</t>
  </si>
  <si>
    <t xml:space="preserve">GOKEX</t>
  </si>
  <si>
    <t xml:space="preserve">Apparel / Garment Exports</t>
  </si>
  <si>
    <t xml:space="preserve">1979</t>
  </si>
  <si>
    <t xml:space="preserve">Bengaluru, Karnataka</t>
  </si>
  <si>
    <t xml:space="preserve">Founded by Jhamandas Hinduja; Blackstone Group has held majority stake since 2007</t>
  </si>
  <si>
    <t xml:space="preserve">Bengaluru region, Karnataka; also Kenya and Ethiopia</t>
  </si>
  <si>
    <t xml:space="preserve">SIYSIL</t>
  </si>
  <si>
    <t xml:space="preserve">Fabrics, Readymade Garments (Menswear) — branded player</t>
  </si>
  <si>
    <t xml:space="preserve">1978</t>
  </si>
  <si>
    <t xml:space="preserve">Mumbai, Maharashtra (registered plant: Tarapur, Maharashtra)</t>
  </si>
  <si>
    <t xml:space="preserve">Poddar family (Chairman &amp; MD: Ramesh Poddar)</t>
  </si>
  <si>
    <t xml:space="preserve">Tarapur, Daman, Amravati, Silvassa</t>
  </si>
  <si>
    <t xml:space="preserve">NSE &amp; BSE (BSE code: 503811)</t>
  </si>
  <si>
    <t xml:space="preserve">Substituted for Raymond Ltd (see Cover &amp; Notes for rationale)</t>
  </si>
  <si>
    <t xml:space="preserve">Computed Capital Structure &amp; Performance Ratios — FY2015-16 to FY2024-25 (Panel of 100 firm-years)</t>
  </si>
  <si>
    <t xml:space="preserve">Total Equity = Equity Capital + Reserves  |  D/E = Borrowings / Total Equity  |  ROE = Net Profit / Total Equity  |  ROA = Net Profit / Total Assets  |  EPS = Net Profit / Shares Outstanding (as reported by Screener.in, split-adjusted)  |  Size = LN(Total Assets)  |  Sales Growth = (Salest - Salest-1)/Salest-1  |  Tangibility = Fixed Assets / Total Assets</t>
  </si>
  <si>
    <t xml:space="preserve">Descriptive Statistics — by Company (FY2015-16 to FY2024-25, N=10 years each)</t>
  </si>
  <si>
    <t xml:space="preserve">Mean D/E</t>
  </si>
  <si>
    <t xml:space="preserve">SD D/E</t>
  </si>
  <si>
    <t xml:space="preserve">Min D/E</t>
  </si>
  <si>
    <t xml:space="preserve">Max D/E</t>
  </si>
  <si>
    <t xml:space="preserve">Mean ROE</t>
  </si>
  <si>
    <t xml:space="preserve">Mean ROA</t>
  </si>
  <si>
    <t xml:space="preserve">Mean EPS (Rs.)</t>
  </si>
  <si>
    <t xml:space="preserve">Mean Sales Growth</t>
  </si>
  <si>
    <t xml:space="preserve">Mean Tangibility</t>
  </si>
  <si>
    <t xml:space="preserve">Mean Size (ln TA)</t>
  </si>
  <si>
    <t xml:space="preserve">POOLED (all 100 firm-years)</t>
  </si>
  <si>
    <t xml:space="preserve">Year-wise Trend (pooled across 10 companies)</t>
  </si>
  <si>
    <t xml:space="preserve">Correlation Matrix — Pooled Panel (100 firm-years)</t>
  </si>
  <si>
    <t xml:space="preserve">D/E</t>
  </si>
  <si>
    <t xml:space="preserve">EPS</t>
  </si>
  <si>
    <t xml:space="preserve">Sales Growth</t>
  </si>
  <si>
    <t xml:space="preserve">Interpretation: Negative correlation between D/E and ROE/ROA/EPS indicates that more highly levered textile firms in the sample tend to report lower profitability — consistent with Pecking Order Theory (profitable firms rely first on internal accruals, borrowing only when internal funds are insufficient).</t>
  </si>
  <si>
    <t xml:space="preserve">Multiple Regression: ROE = β0 + β1(D/E) + β2(Size) + β3(Growth) + β4(Tangibility) + ε</t>
  </si>
  <si>
    <t xml:space="preserve">Estimated by Ordinary Least Squares (pooled cross-section, 100 firm-year observations, 10 companies × 10 years). Computed using Python statsmodels (OLS) on the Ratios Panel data; figures below are software output, reproducible from the 'Ratios Panel' sheet. EPS is reported as a performance measure elsewhere in this workbook (Ratios Panel, Descriptive Stats, Correlation Matrix, and each company sheet) but is not a regressor here, matching the assignment's own regression specification, which is defined only in terms of ROE.</t>
  </si>
  <si>
    <t xml:space="preserve">Variable</t>
  </si>
  <si>
    <t xml:space="preserve">Coefficient</t>
  </si>
  <si>
    <t xml:space="preserve">Std. Error</t>
  </si>
  <si>
    <t xml:space="preserve">t-Statistic</t>
  </si>
  <si>
    <t xml:space="preserve">p-value</t>
  </si>
  <si>
    <t xml:space="preserve">Significant at 5%?</t>
  </si>
  <si>
    <t xml:space="preserve">Intercept (β0)</t>
  </si>
  <si>
    <t xml:space="preserve">Yes**</t>
  </si>
  <si>
    <t xml:space="preserve">D/E Ratio (β1)</t>
  </si>
  <si>
    <t xml:space="preserve">Size — ln(Total Assets) (β2)</t>
  </si>
  <si>
    <t xml:space="preserve">Yes*</t>
  </si>
  <si>
    <t xml:space="preserve">Sales Growth (β3)</t>
  </si>
  <si>
    <t xml:space="preserve">Tangibility (β4)</t>
  </si>
  <si>
    <t xml:space="preserve">No</t>
  </si>
  <si>
    <t xml:space="preserve">Model Summary</t>
  </si>
  <si>
    <t xml:space="preserve">R-squared</t>
  </si>
  <si>
    <t xml:space="preserve">Adjusted R-squared</t>
  </si>
  <si>
    <t xml:space="preserve">F-statistic</t>
  </si>
  <si>
    <t xml:space="preserve">Prob (F-statistic)</t>
  </si>
  <si>
    <t xml:space="preserve">Number of observations</t>
  </si>
  <si>
    <t xml:space="preserve">Supplementary Model: ROA = β0 + β1(D/E) + β2(Size) + β3(Growth) + β4(Tangibility) + ε</t>
  </si>
  <si>
    <t xml:space="preserve">R-squared = 0.4561 | Adj. R-squared = 0.4332</t>
  </si>
  <si>
    <t xml:space="preserve">Formulas Used in This Workbook</t>
  </si>
  <si>
    <t xml:space="preserve">Every ratio and statistic below is a live Excel formula, not a typed-in number — open any cell in Ratios Panel, Descriptive Stats, Correlation Matrix or a company sheet and the formula bar will show exactly this. Cell references below are illustrative (row 5 of Ratios Panel); the same formula pattern repeats down all 100 rows.</t>
  </si>
  <si>
    <t xml:space="preserve">1. Core Ratios — Ratios Panel sheet (row 5 = KPR Mill, FY2015-16)</t>
  </si>
  <si>
    <t xml:space="preserve">Item</t>
  </si>
  <si>
    <t xml:space="preserve">Definition</t>
  </si>
  <si>
    <t xml:space="preserve">Excel Formula (as used in this workbook)</t>
  </si>
  <si>
    <t xml:space="preserve">Where to find it</t>
  </si>
  <si>
    <t xml:space="preserve">Equity Capital + Reserves &amp; Surplus</t>
  </si>
  <si>
    <t xml:space="preserve">='Raw Data'!G5+'Raw Data'!H5</t>
  </si>
  <si>
    <t xml:space="preserve">Ratios Panel, column F</t>
  </si>
  <si>
    <t xml:space="preserve">Borrowings ÷ Total Equity</t>
  </si>
  <si>
    <t xml:space="preserve">=G5/F5</t>
  </si>
  <si>
    <t xml:space="preserve">Ratios Panel, column J</t>
  </si>
  <si>
    <t xml:space="preserve">Net Profit ÷ Total Equity</t>
  </si>
  <si>
    <t xml:space="preserve">=E5/F5</t>
  </si>
  <si>
    <t xml:space="preserve">Ratios Panel, column K</t>
  </si>
  <si>
    <t xml:space="preserve">Net Profit ÷ Total Assets</t>
  </si>
  <si>
    <t xml:space="preserve">=E5/H5</t>
  </si>
  <si>
    <t xml:space="preserve">Ratios Panel, column L</t>
  </si>
  <si>
    <t xml:space="preserve">Size</t>
  </si>
  <si>
    <t xml:space="preserve">LN(Total Assets)</t>
  </si>
  <si>
    <t xml:space="preserve">=LN(H5)</t>
  </si>
  <si>
    <t xml:space="preserve">Ratios Panel, column M</t>
  </si>
  <si>
    <t xml:space="preserve">(Sales this year − Sales last year) ÷ Sales last year</t>
  </si>
  <si>
    <t xml:space="preserve">=(C5-'Raw Data'!D4)/'Raw Data'!D4</t>
  </si>
  <si>
    <t xml:space="preserve">Ratios Panel, column N</t>
  </si>
  <si>
    <t xml:space="preserve">Fixed Assets ÷ Total Assets</t>
  </si>
  <si>
    <t xml:space="preserve">=I5/H5</t>
  </si>
  <si>
    <t xml:space="preserve">Ratios Panel, column O</t>
  </si>
  <si>
    <t xml:space="preserve">As reported by Screener.in (split-adjusted); not derived within the workbook</t>
  </si>
  <si>
    <t xml:space="preserve">='Raw Data'!L5</t>
  </si>
  <si>
    <t xml:space="preserve">Ratios Panel, column P</t>
  </si>
  <si>
    <t xml:space="preserve">2. Descriptive Statistics — by company (Descriptive Stats sheet)</t>
  </si>
  <si>
    <t xml:space="preserve">Mean D/E (per company)</t>
  </si>
  <si>
    <t xml:space="preserve">Average D/E across that company's 10 years</t>
  </si>
  <si>
    <t xml:space="preserve">=AVERAGEIF('Ratios Panel'!$A$5:$A$104,A5,'Ratios Panel'!$J$5:$J$104)</t>
  </si>
  <si>
    <t xml:space="preserve">Descriptive Stats, column B</t>
  </si>
  <si>
    <t xml:space="preserve">SD D/E (per company)</t>
  </si>
  <si>
    <t xml:space="preserve">Standard deviation of D/E across that company's 10 years</t>
  </si>
  <si>
    <t xml:space="preserve">=SQRT(SUMPRODUCT(('Ratios Panel'!$A$5:$A$104=A5)*('Ratios Panel'!$J$5:$J$104-B5)^2)/(COUNTIF('Ratios Panel'!$A$5:$A$104,A5)-1))</t>
  </si>
  <si>
    <t xml:space="preserve">Descriptive Stats, column C</t>
  </si>
  <si>
    <t xml:space="preserve">Min / Max D/E</t>
  </si>
  <si>
    <t xml:space="preserve">Lowest / highest D/E for that company across its 10 years</t>
  </si>
  <si>
    <t xml:space="preserve">=MINIFS('Ratios Panel'!$J$5:$J$104,'Ratios Panel'!$A$5:$A$104,A5)</t>
  </si>
  <si>
    <t xml:space="preserve">Descriptive Stats, columns D &amp; E</t>
  </si>
  <si>
    <t xml:space="preserve">Pooled Mean / SD / Min / Max</t>
  </si>
  <si>
    <t xml:space="preserve">Same statistic across all 100 firm-years at once</t>
  </si>
  <si>
    <t xml:space="preserve">=AVERAGE('Ratios Panel'!$J$5:$J$104)  (and STDEV / MIN / MAX)</t>
  </si>
  <si>
    <t xml:space="preserve">Descriptive Stats, POOLED row</t>
  </si>
  <si>
    <t xml:space="preserve">3. Correlation Matrix</t>
  </si>
  <si>
    <t xml:space="preserve">Pearson correlation</t>
  </si>
  <si>
    <t xml:space="preserve">Correlation between any two variables across all 100 firm-years, e.g. D/E and ROE</t>
  </si>
  <si>
    <t xml:space="preserve">=CORREL('Ratios Panel'!$J$5:$J$104,'Ratios Panel'!$K$5:$K$104)</t>
  </si>
  <si>
    <t xml:space="preserve">Correlation Matrix, each cell</t>
  </si>
  <si>
    <t xml:space="preserve">4. Company Sheets (e.g. 'KPR Mill' sheet) — same pattern as Ratios Panel, self-contained</t>
  </si>
  <si>
    <t xml:space="preserve">D/E, ROE, ROA, Size, Growth, Tangibility</t>
  </si>
  <si>
    <t xml:space="preserve">Identical formulas to Section 1 above, but referencing only that company's own 10 rows on its own sheet</t>
  </si>
  <si>
    <t xml:space="preserve">e.g. =F10/E10  (Total Equity in col F, Borrowings in col G on that sheet)</t>
  </si>
  <si>
    <t xml:space="preserve">Each company sheet, its own ratio table</t>
  </si>
  <si>
    <t xml:space="preserve">10-Yr Average row</t>
  </si>
  <si>
    <t xml:space="preserve">Mean of each ratio across that company's own 10 years</t>
  </si>
  <si>
    <t xml:space="preserve">=AVERAGE(J5:J14)</t>
  </si>
  <si>
    <t xml:space="preserve">Bottom of each company sheet</t>
  </si>
  <si>
    <t xml:space="preserve">SD (10-yr) row</t>
  </si>
  <si>
    <t xml:space="preserve">Standard deviation of D/E, ROE, ROA and EPS for that one company</t>
  </si>
  <si>
    <t xml:space="preserve">=STDEV(J5:J14)</t>
  </si>
  <si>
    <t xml:space="preserve">5. Regression Analysis — NOT an Excel formula (see note)</t>
  </si>
  <si>
    <t xml:space="preserve">Multiple regression</t>
  </si>
  <si>
    <t xml:space="preserve">Excel's native formulas (SLOPE, INTERCEPT, CORREL) only handle one predictor at a time and cannot run a 4-variable multiple regression like ROE = β0 + β1(D/E) + β2(Size) + β3(Growth) + β4(Tangibility) + ε on their own. This was computed using Python's statsmodels library (Ordinary Least Squares) reading directly from the same Ratios Panel data shown in this workbook — the coefficients, R², t-statistics and p-values on the 'Regression Output' sheet are that software's output, pasted in as values because Excel has no live multi-variable regression formula. Re-running the underlying Python script on the Ratios Panel data reproduces the exact same numbers.</t>
  </si>
</sst>
</file>

<file path=xl/styles.xml><?xml version="1.0" encoding="utf-8"?>
<styleSheet xmlns="http://schemas.openxmlformats.org/spreadsheetml/2006/main">
  <numFmts count="7">
    <numFmt numFmtId="164" formatCode="General"/>
    <numFmt numFmtId="165" formatCode="#,##0"/>
    <numFmt numFmtId="166" formatCode="0.00"/>
    <numFmt numFmtId="167" formatCode="0.0%"/>
    <numFmt numFmtId="168" formatCode="0.0000"/>
    <numFmt numFmtId="169" formatCode="0.000"/>
    <numFmt numFmtId="170" formatCode="0.000000"/>
  </numFmts>
  <fonts count="18">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11"/>
      <color rgb="FF595959"/>
      <name val="Arial"/>
      <family val="0"/>
      <charset val="1"/>
    </font>
    <font>
      <sz val="10.5"/>
      <name val="Arial"/>
      <family val="0"/>
      <charset val="1"/>
    </font>
    <font>
      <b val="true"/>
      <sz val="12"/>
      <color rgb="FF1F4E78"/>
      <name val="Arial"/>
      <family val="0"/>
      <charset val="1"/>
    </font>
    <font>
      <b val="true"/>
      <sz val="10"/>
      <color rgb="FFFFFFFF"/>
      <name val="Arial"/>
      <family val="0"/>
      <charset val="1"/>
    </font>
    <font>
      <b val="true"/>
      <sz val="10"/>
      <color rgb="FF1F4E78"/>
      <name val="Arial"/>
      <family val="0"/>
      <charset val="1"/>
    </font>
    <font>
      <sz val="10"/>
      <name val="Arial"/>
      <family val="0"/>
      <charset val="1"/>
    </font>
    <font>
      <b val="true"/>
      <sz val="14"/>
      <name val="Arial"/>
      <family val="0"/>
      <charset val="1"/>
    </font>
    <font>
      <i val="true"/>
      <sz val="9"/>
      <color rgb="FF595959"/>
      <name val="Arial"/>
      <family val="0"/>
      <charset val="1"/>
    </font>
    <font>
      <sz val="10"/>
      <color rgb="FF0000FF"/>
      <name val="Arial"/>
      <family val="0"/>
      <charset val="1"/>
    </font>
    <font>
      <b val="true"/>
      <sz val="18"/>
      <color rgb="FFFFFFFF"/>
      <name val="Arial"/>
      <family val="0"/>
      <charset val="1"/>
    </font>
    <font>
      <b val="true"/>
      <sz val="10"/>
      <name val="Arial"/>
      <family val="0"/>
      <charset val="1"/>
    </font>
    <font>
      <b val="true"/>
      <sz val="14"/>
      <color rgb="FF1F4E78"/>
      <name val="Arial"/>
      <family val="0"/>
      <charset val="1"/>
    </font>
    <font>
      <b val="true"/>
      <sz val="11"/>
      <color rgb="FF7B241C"/>
      <name val="Arial"/>
      <family val="0"/>
      <charset val="1"/>
    </font>
  </fonts>
  <fills count="6">
    <fill>
      <patternFill patternType="none"/>
    </fill>
    <fill>
      <patternFill patternType="gray125"/>
    </fill>
    <fill>
      <patternFill patternType="solid">
        <fgColor rgb="FF1F4E78"/>
        <bgColor rgb="FF003366"/>
      </patternFill>
    </fill>
    <fill>
      <patternFill patternType="solid">
        <fgColor rgb="FFF5F8FC"/>
        <bgColor rgb="FFF2F6FB"/>
      </patternFill>
    </fill>
    <fill>
      <patternFill patternType="solid">
        <fgColor rgb="FFF2F6FB"/>
        <bgColor rgb="FFF5F8FC"/>
      </patternFill>
    </fill>
    <fill>
      <patternFill patternType="solid">
        <fgColor rgb="FFD9E1F2"/>
        <bgColor rgb="FFF2F6FB"/>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xf numFmtId="164" fontId="8" fillId="2" borderId="1" xfId="0" applyFont="true" applyBorder="true" applyAlignment="true" applyProtection="false">
      <alignment horizontal="center" vertical="bottom"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5" fontId="13" fillId="3" borderId="1" xfId="0" applyFont="true" applyBorder="true" applyAlignment="false" applyProtection="false">
      <alignment horizontal="general" vertical="bottom" textRotation="0" wrapText="false" indent="0" shrinkToFit="false"/>
      <protection locked="true" hidden="false"/>
    </xf>
    <xf numFmtId="166" fontId="13" fillId="3" borderId="1" xfId="0" applyFont="tru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general" vertical="center" textRotation="0" wrapText="false" indent="1" shrinkToFit="false"/>
      <protection locked="true" hidden="false"/>
    </xf>
    <xf numFmtId="164" fontId="9" fillId="4" borderId="1" xfId="0" applyFont="true" applyBorder="true" applyAlignment="true" applyProtection="false">
      <alignment horizontal="general" vertical="center"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67" fontId="10" fillId="3" borderId="1" xfId="0" applyFont="true" applyBorder="true" applyAlignment="false" applyProtection="false">
      <alignment horizontal="general" vertical="bottom" textRotation="0" wrapText="false" indent="0" shrinkToFit="false"/>
      <protection locked="true" hidden="false"/>
    </xf>
    <xf numFmtId="168" fontId="10" fillId="3" borderId="1" xfId="0" applyFont="true" applyBorder="true" applyAlignment="false" applyProtection="false">
      <alignment horizontal="general" vertical="bottom" textRotation="0" wrapText="false" indent="0" shrinkToFit="false"/>
      <protection locked="true" hidden="false"/>
    </xf>
    <xf numFmtId="164" fontId="15" fillId="5" borderId="1" xfId="0" applyFont="true" applyBorder="true" applyAlignment="false" applyProtection="false">
      <alignment horizontal="general" vertical="bottom" textRotation="0" wrapText="false" indent="0" shrinkToFit="false"/>
      <protection locked="true" hidden="false"/>
    </xf>
    <xf numFmtId="165" fontId="15" fillId="5" borderId="1" xfId="0" applyFont="true" applyBorder="true" applyAlignment="false" applyProtection="false">
      <alignment horizontal="general" vertical="bottom" textRotation="0" wrapText="false" indent="0" shrinkToFit="false"/>
      <protection locked="true" hidden="false"/>
    </xf>
    <xf numFmtId="166" fontId="15" fillId="5" borderId="1" xfId="0" applyFont="true" applyBorder="true" applyAlignment="false" applyProtection="false">
      <alignment horizontal="general" vertical="bottom" textRotation="0" wrapText="false" indent="0" shrinkToFit="false"/>
      <protection locked="true" hidden="false"/>
    </xf>
    <xf numFmtId="167" fontId="15" fillId="5" borderId="1" xfId="0" applyFont="true" applyBorder="true" applyAlignment="false" applyProtection="false">
      <alignment horizontal="general" vertical="bottom" textRotation="0" wrapText="false" indent="0" shrinkToFit="false"/>
      <protection locked="true" hidden="false"/>
    </xf>
    <xf numFmtId="168" fontId="15" fillId="5"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6" fontId="0" fillId="3" borderId="1" xfId="0" applyFont="false" applyBorder="true" applyAlignment="false" applyProtection="false">
      <alignment horizontal="general" vertical="bottom" textRotation="0" wrapText="false" indent="0" shrinkToFit="false"/>
      <protection locked="true" hidden="false"/>
    </xf>
    <xf numFmtId="167" fontId="0" fillId="3" borderId="1" xfId="0" applyFont="false" applyBorder="true" applyAlignment="false" applyProtection="false">
      <alignment horizontal="general" vertical="bottom" textRotation="0" wrapText="false" indent="0" shrinkToFit="false"/>
      <protection locked="true" hidden="false"/>
    </xf>
    <xf numFmtId="168" fontId="0" fillId="3"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9" fontId="15" fillId="0"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17" fillId="5" borderId="0"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5F8FC"/>
      <rgbColor rgb="FFF2F6FB"/>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7B241C"/>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6" min="3" style="0" width="22"/>
  </cols>
  <sheetData>
    <row r="2" customFormat="false" ht="19.7" hidden="false" customHeight="false" outlineLevel="0" collapsed="false">
      <c r="B2" s="1" t="s">
        <v>0</v>
      </c>
      <c r="C2" s="1"/>
      <c r="D2" s="1"/>
      <c r="E2" s="1"/>
      <c r="F2" s="1"/>
    </row>
    <row r="3" customFormat="false" ht="15" hidden="false" customHeight="false" outlineLevel="0" collapsed="false">
      <c r="B3" s="2" t="s">
        <v>1</v>
      </c>
      <c r="C3" s="2"/>
      <c r="D3" s="2"/>
      <c r="E3" s="2"/>
      <c r="F3" s="2"/>
    </row>
    <row r="5" customFormat="false" ht="15" hidden="false" customHeight="false" outlineLevel="0" collapsed="false">
      <c r="B5" s="3" t="s">
        <v>2</v>
      </c>
      <c r="C5" s="3"/>
      <c r="D5" s="3"/>
      <c r="E5" s="3"/>
      <c r="F5" s="3"/>
    </row>
    <row r="6" customFormat="false" ht="15" hidden="false" customHeight="false" outlineLevel="0" collapsed="false">
      <c r="B6" s="3" t="s">
        <v>3</v>
      </c>
      <c r="C6" s="3"/>
      <c r="D6" s="3"/>
      <c r="E6" s="3"/>
      <c r="F6" s="3"/>
    </row>
    <row r="8" customFormat="false" ht="21.75" hidden="false" customHeight="true" outlineLevel="0" collapsed="false">
      <c r="B8" s="4" t="s">
        <v>4</v>
      </c>
      <c r="C8" s="4"/>
      <c r="D8" s="4"/>
      <c r="E8" s="4"/>
      <c r="F8" s="4"/>
    </row>
    <row r="10" customFormat="false" ht="18" hidden="false" customHeight="true" outlineLevel="0" collapsed="false">
      <c r="B10" s="5" t="s">
        <v>5</v>
      </c>
      <c r="C10" s="5" t="s">
        <v>6</v>
      </c>
      <c r="D10" s="5"/>
      <c r="E10" s="5"/>
      <c r="F10" s="5"/>
    </row>
    <row r="11" customFormat="false" ht="49.5" hidden="false" customHeight="true" outlineLevel="0" collapsed="false">
      <c r="B11" s="6" t="s">
        <v>7</v>
      </c>
      <c r="C11" s="7" t="s">
        <v>8</v>
      </c>
      <c r="D11" s="7"/>
      <c r="E11" s="7"/>
      <c r="F11" s="7"/>
    </row>
    <row r="12" customFormat="false" ht="63.75" hidden="false" customHeight="true" outlineLevel="0" collapsed="false">
      <c r="B12" s="6" t="s">
        <v>9</v>
      </c>
      <c r="C12" s="7" t="s">
        <v>10</v>
      </c>
      <c r="D12" s="7"/>
      <c r="E12" s="7"/>
      <c r="F12" s="7"/>
    </row>
    <row r="13" customFormat="false" ht="36" hidden="false" customHeight="true" outlineLevel="0" collapsed="false">
      <c r="B13" s="6" t="s">
        <v>11</v>
      </c>
      <c r="C13" s="7" t="s">
        <v>12</v>
      </c>
      <c r="D13" s="7"/>
      <c r="E13" s="7"/>
      <c r="F13" s="7"/>
    </row>
    <row r="14" customFormat="false" ht="30" hidden="false" customHeight="true" outlineLevel="0" collapsed="false">
      <c r="B14" s="6" t="s">
        <v>13</v>
      </c>
      <c r="C14" s="7" t="s">
        <v>14</v>
      </c>
      <c r="D14" s="7"/>
      <c r="E14" s="7"/>
      <c r="F14" s="7"/>
    </row>
    <row r="15" customFormat="false" ht="36" hidden="false" customHeight="true" outlineLevel="0" collapsed="false">
      <c r="B15" s="6" t="s">
        <v>15</v>
      </c>
      <c r="C15" s="7" t="s">
        <v>16</v>
      </c>
      <c r="D15" s="7"/>
      <c r="E15" s="7"/>
      <c r="F15" s="7"/>
    </row>
    <row r="16" customFormat="false" ht="49.5" hidden="false" customHeight="true" outlineLevel="0" collapsed="false">
      <c r="B16" s="6" t="s">
        <v>17</v>
      </c>
      <c r="C16" s="7" t="s">
        <v>18</v>
      </c>
      <c r="D16" s="7"/>
      <c r="E16" s="7"/>
      <c r="F16" s="7"/>
    </row>
    <row r="17" customFormat="false" ht="36" hidden="false" customHeight="true" outlineLevel="0" collapsed="false">
      <c r="B17" s="6" t="s">
        <v>19</v>
      </c>
      <c r="C17" s="7" t="s">
        <v>20</v>
      </c>
      <c r="D17" s="7"/>
      <c r="E17" s="7"/>
      <c r="F17" s="7"/>
    </row>
    <row r="19" customFormat="false" ht="21.75" hidden="false" customHeight="true" outlineLevel="0" collapsed="false">
      <c r="B19" s="4" t="s">
        <v>21</v>
      </c>
      <c r="C19" s="4"/>
      <c r="D19" s="4"/>
      <c r="E19" s="4"/>
      <c r="F19" s="4"/>
    </row>
    <row r="20" customFormat="false" ht="15.75" hidden="false" customHeight="true" outlineLevel="0" collapsed="false">
      <c r="B20" s="8" t="s">
        <v>22</v>
      </c>
      <c r="C20" s="8"/>
      <c r="D20" s="8"/>
      <c r="E20" s="8"/>
      <c r="F20" s="8"/>
    </row>
    <row r="21" customFormat="false" ht="15.75" hidden="false" customHeight="true" outlineLevel="0" collapsed="false">
      <c r="B21" s="8"/>
      <c r="C21" s="8"/>
      <c r="D21" s="8"/>
      <c r="E21" s="8"/>
      <c r="F21" s="8"/>
    </row>
    <row r="22" customFormat="false" ht="15.75" hidden="false" customHeight="true" outlineLevel="0" collapsed="false">
      <c r="B22" s="8"/>
      <c r="C22" s="8"/>
      <c r="D22" s="8"/>
      <c r="E22" s="8"/>
      <c r="F22" s="8"/>
    </row>
    <row r="23" customFormat="false" ht="15.75" hidden="false" customHeight="true" outlineLevel="0" collapsed="false">
      <c r="B23" s="8"/>
      <c r="C23" s="8"/>
      <c r="D23" s="8"/>
      <c r="E23" s="8"/>
      <c r="F23" s="8"/>
    </row>
    <row r="24" customFormat="false" ht="15.75" hidden="false" customHeight="true" outlineLevel="0" collapsed="false">
      <c r="B24" s="8"/>
      <c r="C24" s="8"/>
      <c r="D24" s="8"/>
      <c r="E24" s="8"/>
      <c r="F24" s="8"/>
    </row>
    <row r="25" customFormat="false" ht="15.75" hidden="false" customHeight="true" outlineLevel="0" collapsed="false">
      <c r="B25" s="8"/>
      <c r="C25" s="8"/>
      <c r="D25" s="8"/>
      <c r="E25" s="8"/>
      <c r="F25" s="8"/>
    </row>
    <row r="26" customFormat="false" ht="15.75" hidden="false" customHeight="true" outlineLevel="0" collapsed="false">
      <c r="B26" s="8"/>
      <c r="C26" s="8"/>
      <c r="D26" s="8"/>
      <c r="E26" s="8"/>
      <c r="F26" s="8"/>
    </row>
    <row r="27" customFormat="false" ht="15.75" hidden="false" customHeight="true" outlineLevel="0" collapsed="false">
      <c r="B27" s="8"/>
      <c r="C27" s="8"/>
      <c r="D27" s="8"/>
      <c r="E27" s="8"/>
      <c r="F27" s="8"/>
    </row>
    <row r="28" customFormat="false" ht="15.75" hidden="false" customHeight="true" outlineLevel="0" collapsed="false">
      <c r="B28" s="8"/>
      <c r="C28" s="8"/>
      <c r="D28" s="8"/>
      <c r="E28" s="8"/>
      <c r="F28" s="8"/>
    </row>
    <row r="29" customFormat="false" ht="15.75" hidden="false" customHeight="true" outlineLevel="0" collapsed="false">
      <c r="B29" s="8"/>
      <c r="C29" s="8"/>
      <c r="D29" s="8"/>
      <c r="E29" s="8"/>
      <c r="F29" s="8"/>
    </row>
    <row r="31" customFormat="false" ht="21.75" hidden="false" customHeight="true" outlineLevel="0" collapsed="false">
      <c r="B31" s="4" t="s">
        <v>23</v>
      </c>
      <c r="C31" s="4"/>
      <c r="D31" s="4"/>
      <c r="E31" s="4"/>
      <c r="F31" s="4"/>
    </row>
    <row r="32" customFormat="false" ht="15.75" hidden="false" customHeight="true" outlineLevel="0" collapsed="false">
      <c r="B32" s="8" t="s">
        <v>24</v>
      </c>
      <c r="C32" s="8"/>
      <c r="D32" s="8"/>
      <c r="E32" s="8"/>
      <c r="F32" s="8"/>
    </row>
    <row r="33" customFormat="false" ht="15.75" hidden="false" customHeight="true" outlineLevel="0" collapsed="false">
      <c r="B33" s="8"/>
      <c r="C33" s="8"/>
      <c r="D33" s="8"/>
      <c r="E33" s="8"/>
      <c r="F33" s="8"/>
    </row>
    <row r="34" customFormat="false" ht="15.75" hidden="false" customHeight="true" outlineLevel="0" collapsed="false">
      <c r="B34" s="8"/>
      <c r="C34" s="8"/>
      <c r="D34" s="8"/>
      <c r="E34" s="8"/>
      <c r="F34" s="8"/>
    </row>
    <row r="35" customFormat="false" ht="15.75" hidden="false" customHeight="true" outlineLevel="0" collapsed="false">
      <c r="B35" s="8"/>
      <c r="C35" s="8"/>
      <c r="D35" s="8"/>
      <c r="E35" s="8"/>
      <c r="F35" s="8"/>
    </row>
    <row r="36" customFormat="false" ht="15.75" hidden="false" customHeight="true" outlineLevel="0" collapsed="false">
      <c r="B36" s="8"/>
      <c r="C36" s="8"/>
      <c r="D36" s="8"/>
      <c r="E36" s="8"/>
      <c r="F36" s="8"/>
    </row>
    <row r="37" customFormat="false" ht="15.75" hidden="false" customHeight="true" outlineLevel="0" collapsed="false">
      <c r="B37" s="8"/>
      <c r="C37" s="8"/>
      <c r="D37" s="8"/>
      <c r="E37" s="8"/>
      <c r="F37" s="8"/>
    </row>
    <row r="38" customFormat="false" ht="15.75" hidden="false" customHeight="true" outlineLevel="0" collapsed="false">
      <c r="B38" s="8"/>
      <c r="C38" s="8"/>
      <c r="D38" s="8"/>
      <c r="E38" s="8"/>
      <c r="F38" s="8"/>
    </row>
    <row r="39" customFormat="false" ht="15.75" hidden="false" customHeight="true" outlineLevel="0" collapsed="false">
      <c r="B39" s="8"/>
      <c r="C39" s="8"/>
      <c r="D39" s="8"/>
      <c r="E39" s="8"/>
      <c r="F39" s="8"/>
    </row>
  </sheetData>
  <mergeCells count="17">
    <mergeCell ref="B2:F2"/>
    <mergeCell ref="B3:F3"/>
    <mergeCell ref="B5:F5"/>
    <mergeCell ref="B6:F6"/>
    <mergeCell ref="B8:F8"/>
    <mergeCell ref="C10:F10"/>
    <mergeCell ref="C11:F11"/>
    <mergeCell ref="C12:F12"/>
    <mergeCell ref="C13:F13"/>
    <mergeCell ref="C14:F14"/>
    <mergeCell ref="C15:F15"/>
    <mergeCell ref="C16:F16"/>
    <mergeCell ref="C17:F17"/>
    <mergeCell ref="B19:F19"/>
    <mergeCell ref="B20:F29"/>
    <mergeCell ref="B31:F31"/>
    <mergeCell ref="B32:F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L1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4"/>
    <col collapsed="false" customWidth="true" hidden="false" outlineLevel="0" max="4" min="3" style="0" width="12"/>
    <col collapsed="false" customWidth="true" hidden="false" outlineLevel="0" max="5" min="5" style="0" width="15"/>
    <col collapsed="false" customWidth="true" hidden="false" outlineLevel="0" max="6" min="6" style="0" width="12"/>
    <col collapsed="false" customWidth="true" hidden="false" outlineLevel="0" max="7" min="7" style="0" width="15"/>
    <col collapsed="false" customWidth="true" hidden="false" outlineLevel="0" max="8" min="8" style="0" width="17"/>
    <col collapsed="false" customWidth="true" hidden="false" outlineLevel="0" max="10" min="9" style="0" width="13"/>
    <col collapsed="false" customWidth="true" hidden="false" outlineLevel="0" max="11" min="11" style="0" width="17"/>
    <col collapsed="false" customWidth="true" hidden="false" outlineLevel="0" max="12" min="12" style="0" width="11"/>
  </cols>
  <sheetData>
    <row r="1" customFormat="false" ht="17.35" hidden="false" customHeight="false" outlineLevel="0" collapsed="false">
      <c r="A1" s="9" t="s">
        <v>25</v>
      </c>
      <c r="B1" s="9"/>
      <c r="C1" s="9"/>
      <c r="D1" s="9"/>
      <c r="E1" s="9"/>
      <c r="F1" s="9"/>
      <c r="G1" s="9"/>
      <c r="H1" s="9"/>
      <c r="I1" s="9"/>
      <c r="J1" s="9"/>
      <c r="K1" s="9"/>
    </row>
    <row r="2" customFormat="false" ht="42" hidden="false" customHeight="true" outlineLevel="0" collapsed="false">
      <c r="A2" s="10" t="s">
        <v>26</v>
      </c>
      <c r="B2" s="10"/>
      <c r="C2" s="10"/>
      <c r="D2" s="10"/>
      <c r="E2" s="10"/>
      <c r="F2" s="10"/>
      <c r="G2" s="10"/>
      <c r="H2" s="10"/>
      <c r="I2" s="10"/>
      <c r="J2" s="10"/>
      <c r="K2" s="10"/>
    </row>
    <row r="4" customFormat="false" ht="23.85" hidden="false" customHeight="false" outlineLevel="0" collapsed="false">
      <c r="A4" s="11" t="s">
        <v>27</v>
      </c>
      <c r="B4" s="11" t="s">
        <v>28</v>
      </c>
      <c r="C4" s="11" t="s">
        <v>29</v>
      </c>
      <c r="D4" s="11" t="s">
        <v>30</v>
      </c>
      <c r="E4" s="11" t="s">
        <v>31</v>
      </c>
      <c r="F4" s="11" t="s">
        <v>32</v>
      </c>
      <c r="G4" s="11" t="s">
        <v>33</v>
      </c>
      <c r="H4" s="11" t="s">
        <v>34</v>
      </c>
      <c r="I4" s="11" t="s">
        <v>35</v>
      </c>
      <c r="J4" s="11" t="s">
        <v>36</v>
      </c>
      <c r="K4" s="11" t="s">
        <v>37</v>
      </c>
      <c r="L4" s="11" t="s">
        <v>38</v>
      </c>
    </row>
    <row r="5" customFormat="false" ht="15" hidden="false" customHeight="false" outlineLevel="0" collapsed="false">
      <c r="A5" s="12" t="s">
        <v>39</v>
      </c>
      <c r="B5" s="12" t="s">
        <v>40</v>
      </c>
      <c r="C5" s="12" t="n">
        <v>2015</v>
      </c>
      <c r="D5" s="13" t="n">
        <v>2080</v>
      </c>
      <c r="E5" s="13" t="n">
        <v>357</v>
      </c>
      <c r="F5" s="13" t="n">
        <v>146</v>
      </c>
      <c r="G5" s="13" t="n">
        <v>38</v>
      </c>
      <c r="H5" s="13" t="n">
        <v>826</v>
      </c>
      <c r="I5" s="13" t="n">
        <v>672</v>
      </c>
      <c r="J5" s="13" t="n">
        <v>1731</v>
      </c>
      <c r="K5" s="13" t="n">
        <v>924</v>
      </c>
      <c r="L5" s="14" t="n">
        <v>3.87</v>
      </c>
    </row>
    <row r="6" customFormat="false" ht="15" hidden="false" customHeight="false" outlineLevel="0" collapsed="false">
      <c r="A6" s="12" t="s">
        <v>39</v>
      </c>
      <c r="B6" s="12" t="s">
        <v>40</v>
      </c>
      <c r="C6" s="12" t="n">
        <v>2016</v>
      </c>
      <c r="D6" s="13" t="n">
        <v>1961</v>
      </c>
      <c r="E6" s="13" t="n">
        <v>356</v>
      </c>
      <c r="F6" s="13" t="n">
        <v>156</v>
      </c>
      <c r="G6" s="13" t="n">
        <v>38</v>
      </c>
      <c r="H6" s="13" t="n">
        <v>943</v>
      </c>
      <c r="I6" s="13" t="n">
        <v>590</v>
      </c>
      <c r="J6" s="13" t="n">
        <v>1730</v>
      </c>
      <c r="K6" s="13" t="n">
        <v>894</v>
      </c>
      <c r="L6" s="14" t="n">
        <v>4.14</v>
      </c>
    </row>
    <row r="7" customFormat="false" ht="15" hidden="false" customHeight="false" outlineLevel="0" collapsed="false">
      <c r="A7" s="12" t="s">
        <v>39</v>
      </c>
      <c r="B7" s="12" t="s">
        <v>40</v>
      </c>
      <c r="C7" s="12" t="n">
        <v>2017</v>
      </c>
      <c r="D7" s="13" t="n">
        <v>2219</v>
      </c>
      <c r="E7" s="13" t="n">
        <v>446</v>
      </c>
      <c r="F7" s="13" t="n">
        <v>238</v>
      </c>
      <c r="G7" s="13" t="n">
        <v>37</v>
      </c>
      <c r="H7" s="13" t="n">
        <v>1081</v>
      </c>
      <c r="I7" s="13" t="n">
        <v>491</v>
      </c>
      <c r="J7" s="13" t="n">
        <v>1800</v>
      </c>
      <c r="K7" s="13" t="n">
        <v>918</v>
      </c>
      <c r="L7" s="14" t="n">
        <v>6.45</v>
      </c>
    </row>
    <row r="8" customFormat="false" ht="15" hidden="false" customHeight="false" outlineLevel="0" collapsed="false">
      <c r="A8" s="12" t="s">
        <v>39</v>
      </c>
      <c r="B8" s="12" t="s">
        <v>40</v>
      </c>
      <c r="C8" s="12" t="n">
        <v>2018</v>
      </c>
      <c r="D8" s="13" t="n">
        <v>2512</v>
      </c>
      <c r="E8" s="13" t="n">
        <v>429</v>
      </c>
      <c r="F8" s="13" t="n">
        <v>225</v>
      </c>
      <c r="G8" s="13" t="n">
        <v>37</v>
      </c>
      <c r="H8" s="13" t="n">
        <v>1300</v>
      </c>
      <c r="I8" s="13" t="n">
        <v>346</v>
      </c>
      <c r="J8" s="13" t="n">
        <v>1930</v>
      </c>
      <c r="K8" s="13" t="n">
        <v>865</v>
      </c>
      <c r="L8" s="14" t="n">
        <v>6.09</v>
      </c>
    </row>
    <row r="9" customFormat="false" ht="15" hidden="false" customHeight="false" outlineLevel="0" collapsed="false">
      <c r="A9" s="12" t="s">
        <v>39</v>
      </c>
      <c r="B9" s="12" t="s">
        <v>40</v>
      </c>
      <c r="C9" s="12" t="n">
        <v>2019</v>
      </c>
      <c r="D9" s="13" t="n">
        <v>2979</v>
      </c>
      <c r="E9" s="13" t="n">
        <v>507</v>
      </c>
      <c r="F9" s="13" t="n">
        <v>289</v>
      </c>
      <c r="G9" s="13" t="n">
        <v>36</v>
      </c>
      <c r="H9" s="13" t="n">
        <v>1475</v>
      </c>
      <c r="I9" s="13" t="n">
        <v>654</v>
      </c>
      <c r="J9" s="13" t="n">
        <v>2397</v>
      </c>
      <c r="K9" s="13" t="n">
        <v>798</v>
      </c>
      <c r="L9" s="14" t="n">
        <v>7.97</v>
      </c>
    </row>
    <row r="10" customFormat="false" ht="15" hidden="false" customHeight="false" outlineLevel="0" collapsed="false">
      <c r="A10" s="12" t="s">
        <v>39</v>
      </c>
      <c r="B10" s="12" t="s">
        <v>40</v>
      </c>
      <c r="C10" s="12" t="n">
        <v>2020</v>
      </c>
      <c r="D10" s="13" t="n">
        <v>2898</v>
      </c>
      <c r="E10" s="13" t="n">
        <v>475</v>
      </c>
      <c r="F10" s="13" t="n">
        <v>295</v>
      </c>
      <c r="G10" s="13" t="n">
        <v>34</v>
      </c>
      <c r="H10" s="13" t="n">
        <v>1470</v>
      </c>
      <c r="I10" s="13" t="n">
        <v>472</v>
      </c>
      <c r="J10" s="13" t="n">
        <v>2187</v>
      </c>
      <c r="K10" s="13" t="n">
        <v>873</v>
      </c>
      <c r="L10" s="14" t="n">
        <v>8.56</v>
      </c>
    </row>
    <row r="11" customFormat="false" ht="15" hidden="false" customHeight="false" outlineLevel="0" collapsed="false">
      <c r="A11" s="12" t="s">
        <v>39</v>
      </c>
      <c r="B11" s="12" t="s">
        <v>40</v>
      </c>
      <c r="C11" s="12" t="n">
        <v>2021</v>
      </c>
      <c r="D11" s="13" t="n">
        <v>2954</v>
      </c>
      <c r="E11" s="13" t="n">
        <v>664</v>
      </c>
      <c r="F11" s="13" t="n">
        <v>433</v>
      </c>
      <c r="G11" s="13" t="n">
        <v>34</v>
      </c>
      <c r="H11" s="13" t="n">
        <v>1872</v>
      </c>
      <c r="I11" s="13" t="n">
        <v>317</v>
      </c>
      <c r="J11" s="13" t="n">
        <v>2485</v>
      </c>
      <c r="K11" s="13" t="n">
        <v>815</v>
      </c>
      <c r="L11" s="14" t="n">
        <v>12.57</v>
      </c>
    </row>
    <row r="12" customFormat="false" ht="15" hidden="false" customHeight="false" outlineLevel="0" collapsed="false">
      <c r="A12" s="12" t="s">
        <v>39</v>
      </c>
      <c r="B12" s="12" t="s">
        <v>40</v>
      </c>
      <c r="C12" s="12" t="n">
        <v>2022</v>
      </c>
      <c r="D12" s="13" t="n">
        <v>4074</v>
      </c>
      <c r="E12" s="13" t="n">
        <v>984</v>
      </c>
      <c r="F12" s="13" t="n">
        <v>731</v>
      </c>
      <c r="G12" s="13" t="n">
        <v>34</v>
      </c>
      <c r="H12" s="13" t="n">
        <v>2598</v>
      </c>
      <c r="I12" s="13" t="n">
        <v>418</v>
      </c>
      <c r="J12" s="13" t="n">
        <v>3359</v>
      </c>
      <c r="K12" s="13" t="n">
        <v>850</v>
      </c>
      <c r="L12" s="14" t="n">
        <v>21.24</v>
      </c>
    </row>
    <row r="13" customFormat="false" ht="15" hidden="false" customHeight="false" outlineLevel="0" collapsed="false">
      <c r="A13" s="12" t="s">
        <v>39</v>
      </c>
      <c r="B13" s="12" t="s">
        <v>40</v>
      </c>
      <c r="C13" s="12" t="n">
        <v>2023</v>
      </c>
      <c r="D13" s="13" t="n">
        <v>4740</v>
      </c>
      <c r="E13" s="13" t="n">
        <v>799</v>
      </c>
      <c r="F13" s="13" t="n">
        <v>635</v>
      </c>
      <c r="G13" s="13" t="n">
        <v>34</v>
      </c>
      <c r="H13" s="13" t="n">
        <v>2939</v>
      </c>
      <c r="I13" s="13" t="n">
        <v>498</v>
      </c>
      <c r="J13" s="13" t="n">
        <v>3874</v>
      </c>
      <c r="K13" s="13" t="n">
        <v>971</v>
      </c>
      <c r="L13" s="14" t="n">
        <v>18.58</v>
      </c>
    </row>
    <row r="14" customFormat="false" ht="15" hidden="false" customHeight="false" outlineLevel="0" collapsed="false">
      <c r="A14" s="12" t="s">
        <v>39</v>
      </c>
      <c r="B14" s="12" t="s">
        <v>40</v>
      </c>
      <c r="C14" s="12" t="n">
        <v>2024</v>
      </c>
      <c r="D14" s="13" t="n">
        <v>4054</v>
      </c>
      <c r="E14" s="13" t="n">
        <v>595</v>
      </c>
      <c r="F14" s="13" t="n">
        <v>555</v>
      </c>
      <c r="G14" s="13" t="n">
        <v>34</v>
      </c>
      <c r="H14" s="13" t="n">
        <v>3340</v>
      </c>
      <c r="I14" s="13" t="n">
        <v>287</v>
      </c>
      <c r="J14" s="13" t="n">
        <v>3919</v>
      </c>
      <c r="K14" s="13" t="n">
        <v>1070</v>
      </c>
      <c r="L14" s="14" t="n">
        <v>16.23</v>
      </c>
    </row>
    <row r="15" customFormat="false" ht="15" hidden="false" customHeight="false" outlineLevel="0" collapsed="false">
      <c r="A15" s="12" t="s">
        <v>39</v>
      </c>
      <c r="B15" s="12" t="s">
        <v>40</v>
      </c>
      <c r="C15" s="12" t="n">
        <v>2025</v>
      </c>
      <c r="D15" s="13" t="n">
        <v>4216</v>
      </c>
      <c r="E15" s="13" t="n">
        <v>764</v>
      </c>
      <c r="F15" s="13" t="n">
        <v>653</v>
      </c>
      <c r="G15" s="13" t="n">
        <v>34</v>
      </c>
      <c r="H15" s="13" t="n">
        <v>3822</v>
      </c>
      <c r="I15" s="13" t="n">
        <v>241</v>
      </c>
      <c r="J15" s="13" t="n">
        <v>4403</v>
      </c>
      <c r="K15" s="13" t="n">
        <v>1122</v>
      </c>
      <c r="L15" s="14" t="n">
        <v>19.11</v>
      </c>
    </row>
    <row r="16" customFormat="false" ht="15" hidden="false" customHeight="false" outlineLevel="0" collapsed="false">
      <c r="A16" s="15" t="s">
        <v>41</v>
      </c>
      <c r="B16" s="15" t="s">
        <v>40</v>
      </c>
      <c r="C16" s="15" t="n">
        <v>2015</v>
      </c>
      <c r="D16" s="16" t="n">
        <v>4390</v>
      </c>
      <c r="E16" s="16" t="n">
        <v>1042</v>
      </c>
      <c r="F16" s="16" t="n">
        <v>510</v>
      </c>
      <c r="G16" s="16" t="n">
        <v>100</v>
      </c>
      <c r="H16" s="16" t="n">
        <v>1332</v>
      </c>
      <c r="I16" s="16" t="n">
        <v>2467</v>
      </c>
      <c r="J16" s="16" t="n">
        <v>4827</v>
      </c>
      <c r="K16" s="16" t="n">
        <v>2052</v>
      </c>
      <c r="L16" s="17" t="n">
        <v>5.08</v>
      </c>
    </row>
    <row r="17" customFormat="false" ht="15" hidden="false" customHeight="false" outlineLevel="0" collapsed="false">
      <c r="A17" s="15" t="s">
        <v>41</v>
      </c>
      <c r="B17" s="15" t="s">
        <v>40</v>
      </c>
      <c r="C17" s="15" t="n">
        <v>2016</v>
      </c>
      <c r="D17" s="16" t="n">
        <v>4885</v>
      </c>
      <c r="E17" s="16" t="n">
        <v>1275</v>
      </c>
      <c r="F17" s="16" t="n">
        <v>648</v>
      </c>
      <c r="G17" s="16" t="n">
        <v>100</v>
      </c>
      <c r="H17" s="16" t="n">
        <v>1799</v>
      </c>
      <c r="I17" s="16" t="n">
        <v>2566</v>
      </c>
      <c r="J17" s="16" t="n">
        <v>5362</v>
      </c>
      <c r="K17" s="16" t="n">
        <v>2830</v>
      </c>
      <c r="L17" s="17" t="n">
        <v>6.45</v>
      </c>
    </row>
    <row r="18" customFormat="false" ht="15" hidden="false" customHeight="false" outlineLevel="0" collapsed="false">
      <c r="A18" s="15" t="s">
        <v>41</v>
      </c>
      <c r="B18" s="15" t="s">
        <v>40</v>
      </c>
      <c r="C18" s="15" t="n">
        <v>2017</v>
      </c>
      <c r="D18" s="16" t="n">
        <v>5639</v>
      </c>
      <c r="E18" s="16" t="n">
        <v>1370</v>
      </c>
      <c r="F18" s="16" t="n">
        <v>307</v>
      </c>
      <c r="G18" s="16" t="n">
        <v>100</v>
      </c>
      <c r="H18" s="16" t="n">
        <v>2101</v>
      </c>
      <c r="I18" s="16" t="n">
        <v>2738</v>
      </c>
      <c r="J18" s="16" t="n">
        <v>6248</v>
      </c>
      <c r="K18" s="16" t="n">
        <v>3057</v>
      </c>
      <c r="L18" s="17" t="n">
        <v>3.05</v>
      </c>
    </row>
    <row r="19" customFormat="false" ht="15" hidden="false" customHeight="false" outlineLevel="0" collapsed="false">
      <c r="A19" s="15" t="s">
        <v>41</v>
      </c>
      <c r="B19" s="15" t="s">
        <v>40</v>
      </c>
      <c r="C19" s="15" t="n">
        <v>2018</v>
      </c>
      <c r="D19" s="16" t="n">
        <v>4977</v>
      </c>
      <c r="E19" s="16" t="n">
        <v>894</v>
      </c>
      <c r="F19" s="16" t="n">
        <v>304</v>
      </c>
      <c r="G19" s="16" t="n">
        <v>100</v>
      </c>
      <c r="H19" s="16" t="n">
        <v>2329</v>
      </c>
      <c r="I19" s="16" t="n">
        <v>2721</v>
      </c>
      <c r="J19" s="16" t="n">
        <v>6248</v>
      </c>
      <c r="K19" s="16" t="n">
        <v>2846</v>
      </c>
      <c r="L19" s="17" t="n">
        <v>3.03</v>
      </c>
    </row>
    <row r="20" customFormat="false" ht="15" hidden="false" customHeight="false" outlineLevel="0" collapsed="false">
      <c r="A20" s="15" t="s">
        <v>41</v>
      </c>
      <c r="B20" s="15" t="s">
        <v>40</v>
      </c>
      <c r="C20" s="15" t="n">
        <v>2019</v>
      </c>
      <c r="D20" s="16" t="n">
        <v>5395</v>
      </c>
      <c r="E20" s="16" t="n">
        <v>795</v>
      </c>
      <c r="F20" s="16" t="n">
        <v>142</v>
      </c>
      <c r="G20" s="16" t="n">
        <v>100</v>
      </c>
      <c r="H20" s="16" t="n">
        <v>2389</v>
      </c>
      <c r="I20" s="16" t="n">
        <v>2510</v>
      </c>
      <c r="J20" s="16" t="n">
        <v>6264</v>
      </c>
      <c r="K20" s="16" t="n">
        <v>2654</v>
      </c>
      <c r="L20" s="17" t="n">
        <v>1.41</v>
      </c>
    </row>
    <row r="21" customFormat="false" ht="15" hidden="false" customHeight="false" outlineLevel="0" collapsed="false">
      <c r="A21" s="15" t="s">
        <v>41</v>
      </c>
      <c r="B21" s="15" t="s">
        <v>40</v>
      </c>
      <c r="C21" s="15" t="n">
        <v>2020</v>
      </c>
      <c r="D21" s="16" t="n">
        <v>5324</v>
      </c>
      <c r="E21" s="16" t="n">
        <v>1009</v>
      </c>
      <c r="F21" s="16" t="n">
        <v>475</v>
      </c>
      <c r="G21" s="16" t="n">
        <v>100</v>
      </c>
      <c r="H21" s="16" t="n">
        <v>2707</v>
      </c>
      <c r="I21" s="16" t="n">
        <v>2275</v>
      </c>
      <c r="J21" s="16" t="n">
        <v>6221</v>
      </c>
      <c r="K21" s="16" t="n">
        <v>2385</v>
      </c>
      <c r="L21" s="17" t="n">
        <v>4.73</v>
      </c>
    </row>
    <row r="22" customFormat="false" ht="15" hidden="false" customHeight="false" outlineLevel="0" collapsed="false">
      <c r="A22" s="15" t="s">
        <v>41</v>
      </c>
      <c r="B22" s="15" t="s">
        <v>40</v>
      </c>
      <c r="C22" s="15" t="n">
        <v>2021</v>
      </c>
      <c r="D22" s="16" t="n">
        <v>5956</v>
      </c>
      <c r="E22" s="16" t="n">
        <v>1084</v>
      </c>
      <c r="F22" s="16" t="n">
        <v>527</v>
      </c>
      <c r="G22" s="16" t="n">
        <v>100</v>
      </c>
      <c r="H22" s="16" t="n">
        <v>3238</v>
      </c>
      <c r="I22" s="16" t="n">
        <v>1409</v>
      </c>
      <c r="J22" s="16" t="n">
        <v>6098</v>
      </c>
      <c r="K22" s="16" t="n">
        <v>2158</v>
      </c>
      <c r="L22" s="17" t="n">
        <v>5.24</v>
      </c>
    </row>
    <row r="23" customFormat="false" ht="15" hidden="false" customHeight="false" outlineLevel="0" collapsed="false">
      <c r="A23" s="15" t="s">
        <v>41</v>
      </c>
      <c r="B23" s="15" t="s">
        <v>40</v>
      </c>
      <c r="C23" s="15" t="n">
        <v>2022</v>
      </c>
      <c r="D23" s="16" t="n">
        <v>6703</v>
      </c>
      <c r="E23" s="16" t="n">
        <v>893</v>
      </c>
      <c r="F23" s="16" t="n">
        <v>392</v>
      </c>
      <c r="G23" s="16" t="n">
        <v>99</v>
      </c>
      <c r="H23" s="16" t="n">
        <v>3376</v>
      </c>
      <c r="I23" s="16" t="n">
        <v>1318</v>
      </c>
      <c r="J23" s="16" t="n">
        <v>6191</v>
      </c>
      <c r="K23" s="16" t="n">
        <v>2025</v>
      </c>
      <c r="L23" s="17" t="n">
        <v>3.9</v>
      </c>
    </row>
    <row r="24" customFormat="false" ht="15" hidden="false" customHeight="false" outlineLevel="0" collapsed="false">
      <c r="A24" s="15" t="s">
        <v>41</v>
      </c>
      <c r="B24" s="15" t="s">
        <v>40</v>
      </c>
      <c r="C24" s="15" t="n">
        <v>2023</v>
      </c>
      <c r="D24" s="16" t="n">
        <v>6298</v>
      </c>
      <c r="E24" s="16" t="n">
        <v>456</v>
      </c>
      <c r="F24" s="16" t="n">
        <v>123</v>
      </c>
      <c r="G24" s="16" t="n">
        <v>99</v>
      </c>
      <c r="H24" s="16" t="n">
        <v>3309</v>
      </c>
      <c r="I24" s="16" t="n">
        <v>1767</v>
      </c>
      <c r="J24" s="16" t="n">
        <v>6880</v>
      </c>
      <c r="K24" s="16" t="n">
        <v>2938</v>
      </c>
      <c r="L24" s="17" t="n">
        <v>1.22</v>
      </c>
    </row>
    <row r="25" customFormat="false" ht="15" hidden="false" customHeight="false" outlineLevel="0" collapsed="false">
      <c r="A25" s="15" t="s">
        <v>41</v>
      </c>
      <c r="B25" s="15" t="s">
        <v>40</v>
      </c>
      <c r="C25" s="15" t="n">
        <v>2024</v>
      </c>
      <c r="D25" s="16" t="n">
        <v>8085</v>
      </c>
      <c r="E25" s="16" t="n">
        <v>1012</v>
      </c>
      <c r="F25" s="16" t="n">
        <v>596</v>
      </c>
      <c r="G25" s="16" t="n">
        <v>97</v>
      </c>
      <c r="H25" s="16" t="n">
        <v>3644</v>
      </c>
      <c r="I25" s="16" t="n">
        <v>1965</v>
      </c>
      <c r="J25" s="16" t="n">
        <v>7515</v>
      </c>
      <c r="K25" s="16" t="n">
        <v>2879</v>
      </c>
      <c r="L25" s="17" t="n">
        <v>6.13</v>
      </c>
    </row>
    <row r="26" customFormat="false" ht="15" hidden="false" customHeight="false" outlineLevel="0" collapsed="false">
      <c r="A26" s="15" t="s">
        <v>41</v>
      </c>
      <c r="B26" s="15" t="s">
        <v>40</v>
      </c>
      <c r="C26" s="15" t="n">
        <v>2025</v>
      </c>
      <c r="D26" s="16" t="n">
        <v>8622</v>
      </c>
      <c r="E26" s="16" t="n">
        <v>907</v>
      </c>
      <c r="F26" s="16" t="n">
        <v>507</v>
      </c>
      <c r="G26" s="16" t="n">
        <v>96</v>
      </c>
      <c r="H26" s="16" t="n">
        <v>3809</v>
      </c>
      <c r="I26" s="16" t="n">
        <v>1678</v>
      </c>
      <c r="J26" s="16" t="n">
        <v>7508</v>
      </c>
      <c r="K26" s="16" t="n">
        <v>2933</v>
      </c>
      <c r="L26" s="17" t="n">
        <v>5.28</v>
      </c>
    </row>
    <row r="27" customFormat="false" ht="15" hidden="false" customHeight="false" outlineLevel="0" collapsed="false">
      <c r="A27" s="12" t="s">
        <v>42</v>
      </c>
      <c r="B27" s="12" t="s">
        <v>40</v>
      </c>
      <c r="C27" s="12" t="n">
        <v>2015</v>
      </c>
      <c r="D27" s="13" t="n">
        <v>1616</v>
      </c>
      <c r="E27" s="13" t="n">
        <v>237</v>
      </c>
      <c r="F27" s="13" t="n">
        <v>139</v>
      </c>
      <c r="G27" s="13" t="n">
        <v>39</v>
      </c>
      <c r="H27" s="13" t="n">
        <v>361</v>
      </c>
      <c r="I27" s="13" t="n">
        <v>333</v>
      </c>
      <c r="J27" s="13" t="n">
        <v>1153</v>
      </c>
      <c r="K27" s="13" t="n">
        <v>374</v>
      </c>
      <c r="L27" s="14" t="n">
        <v>7.04</v>
      </c>
    </row>
    <row r="28" customFormat="false" ht="15" hidden="false" customHeight="false" outlineLevel="0" collapsed="false">
      <c r="A28" s="12" t="s">
        <v>42</v>
      </c>
      <c r="B28" s="12" t="s">
        <v>40</v>
      </c>
      <c r="C28" s="12" t="n">
        <v>2016</v>
      </c>
      <c r="D28" s="13" t="n">
        <v>2001</v>
      </c>
      <c r="E28" s="13" t="n">
        <v>396</v>
      </c>
      <c r="F28" s="13" t="n">
        <v>238</v>
      </c>
      <c r="G28" s="13" t="n">
        <v>39</v>
      </c>
      <c r="H28" s="13" t="n">
        <v>574</v>
      </c>
      <c r="I28" s="13" t="n">
        <v>340</v>
      </c>
      <c r="J28" s="13" t="n">
        <v>1283</v>
      </c>
      <c r="K28" s="13" t="n">
        <v>466</v>
      </c>
      <c r="L28" s="14" t="n">
        <v>12.04</v>
      </c>
    </row>
    <row r="29" customFormat="false" ht="15" hidden="false" customHeight="false" outlineLevel="0" collapsed="false">
      <c r="A29" s="12" t="s">
        <v>42</v>
      </c>
      <c r="B29" s="12" t="s">
        <v>40</v>
      </c>
      <c r="C29" s="12" t="n">
        <v>2017</v>
      </c>
      <c r="D29" s="13" t="n">
        <v>1990</v>
      </c>
      <c r="E29" s="13" t="n">
        <v>325</v>
      </c>
      <c r="F29" s="13" t="n">
        <v>228</v>
      </c>
      <c r="G29" s="13" t="n">
        <v>39</v>
      </c>
      <c r="H29" s="13" t="n">
        <v>787</v>
      </c>
      <c r="I29" s="13" t="n">
        <v>267</v>
      </c>
      <c r="J29" s="13" t="n">
        <v>1440</v>
      </c>
      <c r="K29" s="13" t="n">
        <v>511</v>
      </c>
      <c r="L29" s="14" t="n">
        <v>11.55</v>
      </c>
    </row>
    <row r="30" customFormat="false" ht="15" hidden="false" customHeight="false" outlineLevel="0" collapsed="false">
      <c r="A30" s="12" t="s">
        <v>42</v>
      </c>
      <c r="B30" s="12" t="s">
        <v>40</v>
      </c>
      <c r="C30" s="12" t="n">
        <v>2018</v>
      </c>
      <c r="D30" s="13" t="n">
        <v>1709</v>
      </c>
      <c r="E30" s="13" t="n">
        <v>167</v>
      </c>
      <c r="F30" s="13" t="n">
        <v>131</v>
      </c>
      <c r="G30" s="13" t="n">
        <v>39</v>
      </c>
      <c r="H30" s="13" t="n">
        <v>899</v>
      </c>
      <c r="I30" s="13" t="n">
        <v>371</v>
      </c>
      <c r="J30" s="13" t="n">
        <v>1644</v>
      </c>
      <c r="K30" s="13" t="n">
        <v>535</v>
      </c>
      <c r="L30" s="14" t="n">
        <v>6.64</v>
      </c>
    </row>
    <row r="31" customFormat="false" ht="15" hidden="false" customHeight="false" outlineLevel="0" collapsed="false">
      <c r="A31" s="12" t="s">
        <v>42</v>
      </c>
      <c r="B31" s="12" t="s">
        <v>40</v>
      </c>
      <c r="C31" s="12" t="n">
        <v>2019</v>
      </c>
      <c r="D31" s="13" t="n">
        <v>1813</v>
      </c>
      <c r="E31" s="13" t="n">
        <v>151</v>
      </c>
      <c r="F31" s="13" t="n">
        <v>59</v>
      </c>
      <c r="G31" s="13" t="n">
        <v>39</v>
      </c>
      <c r="H31" s="13" t="n">
        <v>921</v>
      </c>
      <c r="I31" s="13" t="n">
        <v>309</v>
      </c>
      <c r="J31" s="13" t="n">
        <v>1552</v>
      </c>
      <c r="K31" s="13" t="n">
        <v>560</v>
      </c>
      <c r="L31" s="14" t="n">
        <v>3</v>
      </c>
    </row>
    <row r="32" customFormat="false" ht="15" hidden="false" customHeight="false" outlineLevel="0" collapsed="false">
      <c r="A32" s="12" t="s">
        <v>42</v>
      </c>
      <c r="B32" s="12" t="s">
        <v>40</v>
      </c>
      <c r="C32" s="12" t="n">
        <v>2020</v>
      </c>
      <c r="D32" s="13" t="n">
        <v>1965</v>
      </c>
      <c r="E32" s="13" t="n">
        <v>178</v>
      </c>
      <c r="F32" s="13" t="n">
        <v>74</v>
      </c>
      <c r="G32" s="13" t="n">
        <v>39</v>
      </c>
      <c r="H32" s="13" t="n">
        <v>933</v>
      </c>
      <c r="I32" s="13" t="n">
        <v>348</v>
      </c>
      <c r="J32" s="13" t="n">
        <v>1659</v>
      </c>
      <c r="K32" s="13" t="n">
        <v>553</v>
      </c>
      <c r="L32" s="14" t="n">
        <v>3.74</v>
      </c>
    </row>
    <row r="33" customFormat="false" ht="15" hidden="false" customHeight="false" outlineLevel="0" collapsed="false">
      <c r="A33" s="12" t="s">
        <v>42</v>
      </c>
      <c r="B33" s="12" t="s">
        <v>40</v>
      </c>
      <c r="C33" s="12" t="n">
        <v>2021</v>
      </c>
      <c r="D33" s="13" t="n">
        <v>2515</v>
      </c>
      <c r="E33" s="13" t="n">
        <v>384</v>
      </c>
      <c r="F33" s="13" t="n">
        <v>260</v>
      </c>
      <c r="G33" s="13" t="n">
        <v>39</v>
      </c>
      <c r="H33" s="13" t="n">
        <v>1235</v>
      </c>
      <c r="I33" s="13" t="n">
        <v>546</v>
      </c>
      <c r="J33" s="13" t="n">
        <v>2247</v>
      </c>
      <c r="K33" s="13" t="n">
        <v>543</v>
      </c>
      <c r="L33" s="14" t="n">
        <v>13.18</v>
      </c>
    </row>
    <row r="34" customFormat="false" ht="15" hidden="false" customHeight="false" outlineLevel="0" collapsed="false">
      <c r="A34" s="12" t="s">
        <v>42</v>
      </c>
      <c r="B34" s="12" t="s">
        <v>40</v>
      </c>
      <c r="C34" s="12" t="n">
        <v>2022</v>
      </c>
      <c r="D34" s="13" t="n">
        <v>2806</v>
      </c>
      <c r="E34" s="13" t="n">
        <v>402</v>
      </c>
      <c r="F34" s="13" t="n">
        <v>339</v>
      </c>
      <c r="G34" s="13" t="n">
        <v>39</v>
      </c>
      <c r="H34" s="13" t="n">
        <v>1537</v>
      </c>
      <c r="I34" s="13" t="n">
        <v>1214</v>
      </c>
      <c r="J34" s="13" t="n">
        <v>3090</v>
      </c>
      <c r="K34" s="13" t="n">
        <v>650</v>
      </c>
      <c r="L34" s="14" t="n">
        <v>17.16</v>
      </c>
    </row>
    <row r="35" customFormat="false" ht="15" hidden="false" customHeight="false" outlineLevel="0" collapsed="false">
      <c r="A35" s="12" t="s">
        <v>42</v>
      </c>
      <c r="B35" s="12" t="s">
        <v>40</v>
      </c>
      <c r="C35" s="12" t="n">
        <v>2023</v>
      </c>
      <c r="D35" s="13" t="n">
        <v>2784</v>
      </c>
      <c r="E35" s="13" t="n">
        <v>411</v>
      </c>
      <c r="F35" s="13" t="n">
        <v>238</v>
      </c>
      <c r="G35" s="13" t="n">
        <v>40</v>
      </c>
      <c r="H35" s="13" t="n">
        <v>1725</v>
      </c>
      <c r="I35" s="13" t="n">
        <v>853</v>
      </c>
      <c r="J35" s="13" t="n">
        <v>2983</v>
      </c>
      <c r="K35" s="13" t="n">
        <v>1243</v>
      </c>
      <c r="L35" s="14" t="n">
        <v>12.03</v>
      </c>
    </row>
    <row r="36" customFormat="false" ht="15" hidden="false" customHeight="false" outlineLevel="0" collapsed="false">
      <c r="A36" s="12" t="s">
        <v>42</v>
      </c>
      <c r="B36" s="12" t="s">
        <v>40</v>
      </c>
      <c r="C36" s="12" t="n">
        <v>2024</v>
      </c>
      <c r="D36" s="13" t="n">
        <v>3332</v>
      </c>
      <c r="E36" s="13" t="n">
        <v>526</v>
      </c>
      <c r="F36" s="13" t="n">
        <v>320</v>
      </c>
      <c r="G36" s="13" t="n">
        <v>40</v>
      </c>
      <c r="H36" s="13" t="n">
        <v>2008</v>
      </c>
      <c r="I36" s="13" t="n">
        <v>936</v>
      </c>
      <c r="J36" s="13" t="n">
        <v>3493</v>
      </c>
      <c r="K36" s="13" t="n">
        <v>1344</v>
      </c>
      <c r="L36" s="14" t="n">
        <v>16.17</v>
      </c>
    </row>
    <row r="37" customFormat="false" ht="15" hidden="false" customHeight="false" outlineLevel="0" collapsed="false">
      <c r="A37" s="12" t="s">
        <v>42</v>
      </c>
      <c r="B37" s="12" t="s">
        <v>40</v>
      </c>
      <c r="C37" s="12" t="n">
        <v>2025</v>
      </c>
      <c r="D37" s="13" t="n">
        <v>3772</v>
      </c>
      <c r="E37" s="13" t="n">
        <v>465</v>
      </c>
      <c r="F37" s="13" t="n">
        <v>237</v>
      </c>
      <c r="G37" s="13" t="n">
        <v>40</v>
      </c>
      <c r="H37" s="13" t="n">
        <v>2197</v>
      </c>
      <c r="I37" s="13" t="n">
        <v>1061</v>
      </c>
      <c r="J37" s="13" t="n">
        <v>3695</v>
      </c>
      <c r="K37" s="13" t="n">
        <v>1381</v>
      </c>
      <c r="L37" s="14" t="n">
        <v>11.98</v>
      </c>
    </row>
    <row r="38" customFormat="false" ht="15" hidden="false" customHeight="false" outlineLevel="0" collapsed="false">
      <c r="A38" s="15" t="s">
        <v>43</v>
      </c>
      <c r="B38" s="15" t="s">
        <v>40</v>
      </c>
      <c r="C38" s="15" t="n">
        <v>2015</v>
      </c>
      <c r="D38" s="16" t="n">
        <v>5730</v>
      </c>
      <c r="E38" s="16" t="n">
        <v>942</v>
      </c>
      <c r="F38" s="16" t="n">
        <v>359</v>
      </c>
      <c r="G38" s="16" t="n">
        <v>64</v>
      </c>
      <c r="H38" s="16" t="n">
        <v>3020</v>
      </c>
      <c r="I38" s="16" t="n">
        <v>2506</v>
      </c>
      <c r="J38" s="16" t="n">
        <v>6305</v>
      </c>
      <c r="K38" s="16" t="n">
        <v>2573</v>
      </c>
      <c r="L38" s="17" t="n">
        <v>11.28</v>
      </c>
    </row>
    <row r="39" customFormat="false" ht="15" hidden="false" customHeight="false" outlineLevel="0" collapsed="false">
      <c r="A39" s="15" t="s">
        <v>43</v>
      </c>
      <c r="B39" s="15" t="s">
        <v>40</v>
      </c>
      <c r="C39" s="15" t="n">
        <v>2016</v>
      </c>
      <c r="D39" s="16" t="n">
        <v>5602</v>
      </c>
      <c r="E39" s="16" t="n">
        <v>1108</v>
      </c>
      <c r="F39" s="16" t="n">
        <v>676</v>
      </c>
      <c r="G39" s="16" t="n">
        <v>62</v>
      </c>
      <c r="H39" s="16" t="n">
        <v>3628</v>
      </c>
      <c r="I39" s="16" t="n">
        <v>2596</v>
      </c>
      <c r="J39" s="16" t="n">
        <v>6985</v>
      </c>
      <c r="K39" s="16" t="n">
        <v>2585</v>
      </c>
      <c r="L39" s="17" t="n">
        <v>21.25</v>
      </c>
    </row>
    <row r="40" customFormat="false" ht="15" hidden="false" customHeight="false" outlineLevel="0" collapsed="false">
      <c r="A40" s="15" t="s">
        <v>43</v>
      </c>
      <c r="B40" s="15" t="s">
        <v>40</v>
      </c>
      <c r="C40" s="15" t="n">
        <v>2017</v>
      </c>
      <c r="D40" s="16" t="n">
        <v>5691</v>
      </c>
      <c r="E40" s="16" t="n">
        <v>1131</v>
      </c>
      <c r="F40" s="16" t="n">
        <v>1002</v>
      </c>
      <c r="G40" s="16" t="n">
        <v>56</v>
      </c>
      <c r="H40" s="16" t="n">
        <v>3930</v>
      </c>
      <c r="I40" s="16" t="n">
        <v>2198</v>
      </c>
      <c r="J40" s="16" t="n">
        <v>6959</v>
      </c>
      <c r="K40" s="16" t="n">
        <v>2507</v>
      </c>
      <c r="L40" s="17" t="n">
        <v>34.87</v>
      </c>
    </row>
    <row r="41" customFormat="false" ht="15" hidden="false" customHeight="false" outlineLevel="0" collapsed="false">
      <c r="A41" s="15" t="s">
        <v>43</v>
      </c>
      <c r="B41" s="15" t="s">
        <v>40</v>
      </c>
      <c r="C41" s="15" t="n">
        <v>2018</v>
      </c>
      <c r="D41" s="16" t="n">
        <v>5851</v>
      </c>
      <c r="E41" s="16" t="n">
        <v>859</v>
      </c>
      <c r="F41" s="16" t="n">
        <v>546</v>
      </c>
      <c r="G41" s="16" t="n">
        <v>57</v>
      </c>
      <c r="H41" s="16" t="n">
        <v>4575</v>
      </c>
      <c r="I41" s="16" t="n">
        <v>2282</v>
      </c>
      <c r="J41" s="16" t="n">
        <v>7696</v>
      </c>
      <c r="K41" s="16" t="n">
        <v>2612</v>
      </c>
      <c r="L41" s="17" t="n">
        <v>19</v>
      </c>
    </row>
    <row r="42" customFormat="false" ht="15" hidden="false" customHeight="false" outlineLevel="0" collapsed="false">
      <c r="A42" s="15" t="s">
        <v>43</v>
      </c>
      <c r="B42" s="15" t="s">
        <v>40</v>
      </c>
      <c r="C42" s="15" t="n">
        <v>2019</v>
      </c>
      <c r="D42" s="16" t="n">
        <v>6415</v>
      </c>
      <c r="E42" s="16" t="n">
        <v>1132</v>
      </c>
      <c r="F42" s="16" t="n">
        <v>696</v>
      </c>
      <c r="G42" s="16" t="n">
        <v>57</v>
      </c>
      <c r="H42" s="16" t="n">
        <v>5182</v>
      </c>
      <c r="I42" s="16" t="n">
        <v>2238</v>
      </c>
      <c r="J42" s="16" t="n">
        <v>8369</v>
      </c>
      <c r="K42" s="16" t="n">
        <v>3333</v>
      </c>
      <c r="L42" s="17" t="n">
        <v>24.21</v>
      </c>
    </row>
    <row r="43" customFormat="false" ht="15" hidden="false" customHeight="false" outlineLevel="0" collapsed="false">
      <c r="A43" s="15" t="s">
        <v>43</v>
      </c>
      <c r="B43" s="15" t="s">
        <v>40</v>
      </c>
      <c r="C43" s="15" t="n">
        <v>2020</v>
      </c>
      <c r="D43" s="16" t="n">
        <v>6325</v>
      </c>
      <c r="E43" s="16" t="n">
        <v>883</v>
      </c>
      <c r="F43" s="16" t="n">
        <v>545</v>
      </c>
      <c r="G43" s="16" t="n">
        <v>58</v>
      </c>
      <c r="H43" s="16" t="n">
        <v>5609</v>
      </c>
      <c r="I43" s="16" t="n">
        <v>2197</v>
      </c>
      <c r="J43" s="16" t="n">
        <v>8727</v>
      </c>
      <c r="K43" s="16" t="n">
        <v>3620</v>
      </c>
      <c r="L43" s="17" t="n">
        <v>18.97</v>
      </c>
    </row>
    <row r="44" customFormat="false" ht="15" hidden="false" customHeight="false" outlineLevel="0" collapsed="false">
      <c r="A44" s="15" t="s">
        <v>43</v>
      </c>
      <c r="B44" s="15" t="s">
        <v>40</v>
      </c>
      <c r="C44" s="15" t="n">
        <v>2021</v>
      </c>
      <c r="D44" s="16" t="n">
        <v>5926</v>
      </c>
      <c r="E44" s="16" t="n">
        <v>767</v>
      </c>
      <c r="F44" s="16" t="n">
        <v>367</v>
      </c>
      <c r="G44" s="16" t="n">
        <v>58</v>
      </c>
      <c r="H44" s="16" t="n">
        <v>6081</v>
      </c>
      <c r="I44" s="16" t="n">
        <v>2132</v>
      </c>
      <c r="J44" s="16" t="n">
        <v>9064</v>
      </c>
      <c r="K44" s="16" t="n">
        <v>3546</v>
      </c>
      <c r="L44" s="17" t="n">
        <v>12.74</v>
      </c>
    </row>
    <row r="45" customFormat="false" ht="15" hidden="false" customHeight="false" outlineLevel="0" collapsed="false">
      <c r="A45" s="15" t="s">
        <v>43</v>
      </c>
      <c r="B45" s="15" t="s">
        <v>40</v>
      </c>
      <c r="C45" s="15" t="n">
        <v>2022</v>
      </c>
      <c r="D45" s="16" t="n">
        <v>9386</v>
      </c>
      <c r="E45" s="16" t="n">
        <v>2262</v>
      </c>
      <c r="F45" s="16" t="n">
        <v>1677</v>
      </c>
      <c r="G45" s="16" t="n">
        <v>58</v>
      </c>
      <c r="H45" s="16" t="n">
        <v>7481</v>
      </c>
      <c r="I45" s="16" t="n">
        <v>1980</v>
      </c>
      <c r="J45" s="16" t="n">
        <v>10576</v>
      </c>
      <c r="K45" s="16" t="n">
        <v>3677</v>
      </c>
      <c r="L45" s="17" t="n">
        <v>58.07</v>
      </c>
    </row>
    <row r="46" customFormat="false" ht="15" hidden="false" customHeight="false" outlineLevel="0" collapsed="false">
      <c r="A46" s="15" t="s">
        <v>43</v>
      </c>
      <c r="B46" s="15" t="s">
        <v>40</v>
      </c>
      <c r="C46" s="15" t="n">
        <v>2023</v>
      </c>
      <c r="D46" s="16" t="n">
        <v>9841</v>
      </c>
      <c r="E46" s="16" t="n">
        <v>1285</v>
      </c>
      <c r="F46" s="16" t="n">
        <v>749</v>
      </c>
      <c r="G46" s="16" t="n">
        <v>58</v>
      </c>
      <c r="H46" s="16" t="n">
        <v>8236</v>
      </c>
      <c r="I46" s="16" t="n">
        <v>1677</v>
      </c>
      <c r="J46" s="16" t="n">
        <v>10861</v>
      </c>
      <c r="K46" s="16" t="n">
        <v>3927</v>
      </c>
      <c r="L46" s="17" t="n">
        <v>25.91</v>
      </c>
    </row>
    <row r="47" customFormat="false" ht="15" hidden="false" customHeight="false" outlineLevel="0" collapsed="false">
      <c r="A47" s="15" t="s">
        <v>43</v>
      </c>
      <c r="B47" s="15" t="s">
        <v>40</v>
      </c>
      <c r="C47" s="15" t="n">
        <v>2024</v>
      </c>
      <c r="D47" s="16" t="n">
        <v>9299</v>
      </c>
      <c r="E47" s="16" t="n">
        <v>958</v>
      </c>
      <c r="F47" s="16" t="n">
        <v>608</v>
      </c>
      <c r="G47" s="16" t="n">
        <v>58</v>
      </c>
      <c r="H47" s="16" t="n">
        <v>8747</v>
      </c>
      <c r="I47" s="16" t="n">
        <v>1790</v>
      </c>
      <c r="J47" s="16" t="n">
        <v>11487</v>
      </c>
      <c r="K47" s="16" t="n">
        <v>3772</v>
      </c>
      <c r="L47" s="17" t="n">
        <v>21.01</v>
      </c>
    </row>
    <row r="48" customFormat="false" ht="15" hidden="false" customHeight="false" outlineLevel="0" collapsed="false">
      <c r="A48" s="15" t="s">
        <v>43</v>
      </c>
      <c r="B48" s="15" t="s">
        <v>40</v>
      </c>
      <c r="C48" s="15" t="n">
        <v>2025</v>
      </c>
      <c r="D48" s="16" t="n">
        <v>9587</v>
      </c>
      <c r="E48" s="16" t="n">
        <v>1257</v>
      </c>
      <c r="F48" s="16" t="n">
        <v>879</v>
      </c>
      <c r="G48" s="16" t="n">
        <v>58</v>
      </c>
      <c r="H48" s="16" t="n">
        <v>9520</v>
      </c>
      <c r="I48" s="16" t="n">
        <v>1238</v>
      </c>
      <c r="J48" s="16" t="n">
        <v>11900</v>
      </c>
      <c r="K48" s="16" t="n">
        <v>4342</v>
      </c>
      <c r="L48" s="17" t="n">
        <v>30.4</v>
      </c>
    </row>
    <row r="49" customFormat="false" ht="15" hidden="false" customHeight="false" outlineLevel="0" collapsed="false">
      <c r="A49" s="12" t="s">
        <v>44</v>
      </c>
      <c r="B49" s="12" t="s">
        <v>40</v>
      </c>
      <c r="C49" s="12" t="n">
        <v>2015</v>
      </c>
      <c r="D49" s="13" t="n">
        <v>3735</v>
      </c>
      <c r="E49" s="13" t="n">
        <v>661</v>
      </c>
      <c r="F49" s="13" t="n">
        <v>118</v>
      </c>
      <c r="G49" s="13" t="n">
        <v>509</v>
      </c>
      <c r="H49" s="13" t="n">
        <v>947</v>
      </c>
      <c r="I49" s="13" t="n">
        <v>2580</v>
      </c>
      <c r="J49" s="13" t="n">
        <v>4504</v>
      </c>
      <c r="K49" s="13" t="n">
        <v>3086</v>
      </c>
      <c r="L49" s="14" t="n">
        <v>0.23</v>
      </c>
    </row>
    <row r="50" customFormat="false" ht="15" hidden="false" customHeight="false" outlineLevel="0" collapsed="false">
      <c r="A50" s="12" t="s">
        <v>44</v>
      </c>
      <c r="B50" s="12" t="s">
        <v>40</v>
      </c>
      <c r="C50" s="12" t="n">
        <v>2016</v>
      </c>
      <c r="D50" s="13" t="n">
        <v>3665</v>
      </c>
      <c r="E50" s="13" t="n">
        <v>730</v>
      </c>
      <c r="F50" s="13" t="n">
        <v>242</v>
      </c>
      <c r="G50" s="13" t="n">
        <v>509</v>
      </c>
      <c r="H50" s="13" t="n">
        <v>1906</v>
      </c>
      <c r="I50" s="13" t="n">
        <v>3503</v>
      </c>
      <c r="J50" s="13" t="n">
        <v>6506</v>
      </c>
      <c r="K50" s="13" t="n">
        <v>4755</v>
      </c>
      <c r="L50" s="14" t="n">
        <v>0.48</v>
      </c>
    </row>
    <row r="51" customFormat="false" ht="15" hidden="false" customHeight="false" outlineLevel="0" collapsed="false">
      <c r="A51" s="12" t="s">
        <v>44</v>
      </c>
      <c r="B51" s="12" t="s">
        <v>40</v>
      </c>
      <c r="C51" s="12" t="n">
        <v>2017</v>
      </c>
      <c r="D51" s="13" t="n">
        <v>4617</v>
      </c>
      <c r="E51" s="13" t="n">
        <v>886</v>
      </c>
      <c r="F51" s="13" t="n">
        <v>337</v>
      </c>
      <c r="G51" s="13" t="n">
        <v>510</v>
      </c>
      <c r="H51" s="13" t="n">
        <v>2215</v>
      </c>
      <c r="I51" s="13" t="n">
        <v>2849</v>
      </c>
      <c r="J51" s="13" t="n">
        <v>6150</v>
      </c>
      <c r="K51" s="13" t="n">
        <v>4467</v>
      </c>
      <c r="L51" s="14" t="n">
        <v>0.66</v>
      </c>
    </row>
    <row r="52" customFormat="false" ht="15" hidden="false" customHeight="false" outlineLevel="0" collapsed="false">
      <c r="A52" s="12" t="s">
        <v>44</v>
      </c>
      <c r="B52" s="12" t="s">
        <v>40</v>
      </c>
      <c r="C52" s="12" t="n">
        <v>2018</v>
      </c>
      <c r="D52" s="13" t="n">
        <v>4566</v>
      </c>
      <c r="E52" s="13" t="n">
        <v>852</v>
      </c>
      <c r="F52" s="13" t="n">
        <v>266</v>
      </c>
      <c r="G52" s="13" t="n">
        <v>510</v>
      </c>
      <c r="H52" s="13" t="n">
        <v>2184</v>
      </c>
      <c r="I52" s="13" t="n">
        <v>2798</v>
      </c>
      <c r="J52" s="13" t="n">
        <v>6129</v>
      </c>
      <c r="K52" s="13" t="n">
        <v>4079</v>
      </c>
      <c r="L52" s="14" t="n">
        <v>0.52</v>
      </c>
    </row>
    <row r="53" customFormat="false" ht="15" hidden="false" customHeight="false" outlineLevel="0" collapsed="false">
      <c r="A53" s="12" t="s">
        <v>44</v>
      </c>
      <c r="B53" s="12" t="s">
        <v>40</v>
      </c>
      <c r="C53" s="12" t="n">
        <v>2019</v>
      </c>
      <c r="D53" s="13" t="n">
        <v>5220</v>
      </c>
      <c r="E53" s="13" t="n">
        <v>977</v>
      </c>
      <c r="F53" s="13" t="n">
        <v>371</v>
      </c>
      <c r="G53" s="13" t="n">
        <v>510</v>
      </c>
      <c r="H53" s="13" t="n">
        <v>2422</v>
      </c>
      <c r="I53" s="13" t="n">
        <v>2436</v>
      </c>
      <c r="J53" s="13" t="n">
        <v>6103</v>
      </c>
      <c r="K53" s="13" t="n">
        <v>3848</v>
      </c>
      <c r="L53" s="14" t="n">
        <v>0.73</v>
      </c>
    </row>
    <row r="54" customFormat="false" ht="15" hidden="false" customHeight="false" outlineLevel="0" collapsed="false">
      <c r="A54" s="12" t="s">
        <v>44</v>
      </c>
      <c r="B54" s="12" t="s">
        <v>40</v>
      </c>
      <c r="C54" s="12" t="n">
        <v>2020</v>
      </c>
      <c r="D54" s="13" t="n">
        <v>4699</v>
      </c>
      <c r="E54" s="13" t="n">
        <v>841</v>
      </c>
      <c r="F54" s="13" t="n">
        <v>342</v>
      </c>
      <c r="G54" s="13" t="n">
        <v>510</v>
      </c>
      <c r="H54" s="13" t="n">
        <v>2457</v>
      </c>
      <c r="I54" s="13" t="n">
        <v>1991</v>
      </c>
      <c r="J54" s="13" t="n">
        <v>5718</v>
      </c>
      <c r="K54" s="13" t="n">
        <v>3826</v>
      </c>
      <c r="L54" s="14" t="n">
        <v>0.67</v>
      </c>
    </row>
    <row r="55" customFormat="false" ht="15" hidden="false" customHeight="false" outlineLevel="0" collapsed="false">
      <c r="A55" s="12" t="s">
        <v>44</v>
      </c>
      <c r="B55" s="12" t="s">
        <v>40</v>
      </c>
      <c r="C55" s="12" t="n">
        <v>2021</v>
      </c>
      <c r="D55" s="13" t="n">
        <v>4519</v>
      </c>
      <c r="E55" s="13" t="n">
        <v>814</v>
      </c>
      <c r="F55" s="13" t="n">
        <v>346</v>
      </c>
      <c r="G55" s="13" t="n">
        <v>510</v>
      </c>
      <c r="H55" s="13" t="n">
        <v>2807</v>
      </c>
      <c r="I55" s="13" t="n">
        <v>1562</v>
      </c>
      <c r="J55" s="13" t="n">
        <v>5754</v>
      </c>
      <c r="K55" s="13" t="n">
        <v>3854</v>
      </c>
      <c r="L55" s="14" t="n">
        <v>0.68</v>
      </c>
    </row>
    <row r="56" customFormat="false" ht="15" hidden="false" customHeight="false" outlineLevel="0" collapsed="false">
      <c r="A56" s="12" t="s">
        <v>44</v>
      </c>
      <c r="B56" s="12" t="s">
        <v>40</v>
      </c>
      <c r="C56" s="12" t="n">
        <v>2022</v>
      </c>
      <c r="D56" s="13" t="n">
        <v>6919</v>
      </c>
      <c r="E56" s="13" t="n">
        <v>1495</v>
      </c>
      <c r="F56" s="13" t="n">
        <v>815</v>
      </c>
      <c r="G56" s="13" t="n">
        <v>510</v>
      </c>
      <c r="H56" s="13" t="n">
        <v>3288</v>
      </c>
      <c r="I56" s="13" t="n">
        <v>1596</v>
      </c>
      <c r="J56" s="13" t="n">
        <v>6431</v>
      </c>
      <c r="K56" s="13" t="n">
        <v>3795</v>
      </c>
      <c r="L56" s="14" t="n">
        <v>1.6</v>
      </c>
    </row>
    <row r="57" customFormat="false" ht="15" hidden="false" customHeight="false" outlineLevel="0" collapsed="false">
      <c r="A57" s="12" t="s">
        <v>44</v>
      </c>
      <c r="B57" s="12" t="s">
        <v>40</v>
      </c>
      <c r="C57" s="12" t="n">
        <v>2023</v>
      </c>
      <c r="D57" s="13" t="n">
        <v>6267</v>
      </c>
      <c r="E57" s="13" t="n">
        <v>918</v>
      </c>
      <c r="F57" s="13" t="n">
        <v>422</v>
      </c>
      <c r="G57" s="13" t="n">
        <v>510</v>
      </c>
      <c r="H57" s="13" t="n">
        <v>3616</v>
      </c>
      <c r="I57" s="13" t="n">
        <v>1404</v>
      </c>
      <c r="J57" s="13" t="n">
        <v>6713</v>
      </c>
      <c r="K57" s="13" t="n">
        <v>4422</v>
      </c>
      <c r="L57" s="14" t="n">
        <v>0.83</v>
      </c>
    </row>
    <row r="58" customFormat="false" ht="15" hidden="false" customHeight="false" outlineLevel="0" collapsed="false">
      <c r="A58" s="12" t="s">
        <v>44</v>
      </c>
      <c r="B58" s="12" t="s">
        <v>40</v>
      </c>
      <c r="C58" s="12" t="n">
        <v>2024</v>
      </c>
      <c r="D58" s="13" t="n">
        <v>6730</v>
      </c>
      <c r="E58" s="13" t="n">
        <v>935</v>
      </c>
      <c r="F58" s="13" t="n">
        <v>390</v>
      </c>
      <c r="G58" s="13" t="n">
        <v>510</v>
      </c>
      <c r="H58" s="13" t="n">
        <v>3800</v>
      </c>
      <c r="I58" s="13" t="n">
        <v>2094</v>
      </c>
      <c r="J58" s="13" t="n">
        <v>7522</v>
      </c>
      <c r="K58" s="13" t="n">
        <v>4663</v>
      </c>
      <c r="L58" s="14" t="n">
        <v>0.76</v>
      </c>
    </row>
    <row r="59" customFormat="false" ht="15" hidden="false" customHeight="false" outlineLevel="0" collapsed="false">
      <c r="A59" s="12" t="s">
        <v>44</v>
      </c>
      <c r="B59" s="12" t="s">
        <v>40</v>
      </c>
      <c r="C59" s="12" t="n">
        <v>2025</v>
      </c>
      <c r="D59" s="13" t="n">
        <v>6966</v>
      </c>
      <c r="E59" s="13" t="n">
        <v>886</v>
      </c>
      <c r="F59" s="13" t="n">
        <v>367</v>
      </c>
      <c r="G59" s="13" t="n">
        <v>510</v>
      </c>
      <c r="H59" s="13" t="n">
        <v>4101</v>
      </c>
      <c r="I59" s="13" t="n">
        <v>1606</v>
      </c>
      <c r="J59" s="13" t="n">
        <v>7129</v>
      </c>
      <c r="K59" s="13" t="n">
        <v>4478</v>
      </c>
      <c r="L59" s="14" t="n">
        <v>0.72</v>
      </c>
    </row>
    <row r="60" customFormat="false" ht="15" hidden="false" customHeight="false" outlineLevel="0" collapsed="false">
      <c r="A60" s="15" t="s">
        <v>45</v>
      </c>
      <c r="B60" s="15" t="s">
        <v>40</v>
      </c>
      <c r="C60" s="15" t="n">
        <v>2015</v>
      </c>
      <c r="D60" s="16" t="n">
        <v>5225</v>
      </c>
      <c r="E60" s="16" t="n">
        <v>845</v>
      </c>
      <c r="F60" s="16" t="n">
        <v>377</v>
      </c>
      <c r="G60" s="16" t="n">
        <v>258</v>
      </c>
      <c r="H60" s="16" t="n">
        <v>2587</v>
      </c>
      <c r="I60" s="16" t="n">
        <v>2750</v>
      </c>
      <c r="J60" s="16" t="n">
        <v>6652</v>
      </c>
      <c r="K60" s="16" t="n">
        <v>2696</v>
      </c>
      <c r="L60" s="17" t="n">
        <v>14.62</v>
      </c>
    </row>
    <row r="61" customFormat="false" ht="15" hidden="false" customHeight="false" outlineLevel="0" collapsed="false">
      <c r="A61" s="15" t="s">
        <v>45</v>
      </c>
      <c r="B61" s="15" t="s">
        <v>40</v>
      </c>
      <c r="C61" s="15" t="n">
        <v>2016</v>
      </c>
      <c r="D61" s="16" t="n">
        <v>5357</v>
      </c>
      <c r="E61" s="16" t="n">
        <v>808</v>
      </c>
      <c r="F61" s="16" t="n">
        <v>321</v>
      </c>
      <c r="G61" s="16" t="n">
        <v>258</v>
      </c>
      <c r="H61" s="16" t="n">
        <v>2728</v>
      </c>
      <c r="I61" s="16" t="n">
        <v>3123</v>
      </c>
      <c r="J61" s="16" t="n">
        <v>6990</v>
      </c>
      <c r="K61" s="16" t="n">
        <v>2928</v>
      </c>
      <c r="L61" s="17" t="n">
        <v>12.42</v>
      </c>
    </row>
    <row r="62" customFormat="false" ht="15" hidden="false" customHeight="false" outlineLevel="0" collapsed="false">
      <c r="A62" s="15" t="s">
        <v>45</v>
      </c>
      <c r="B62" s="15" t="s">
        <v>40</v>
      </c>
      <c r="C62" s="15" t="n">
        <v>2017</v>
      </c>
      <c r="D62" s="16" t="n">
        <v>5967</v>
      </c>
      <c r="E62" s="16" t="n">
        <v>732</v>
      </c>
      <c r="F62" s="16" t="n">
        <v>19</v>
      </c>
      <c r="G62" s="16" t="n">
        <v>258</v>
      </c>
      <c r="H62" s="16" t="n">
        <v>2753</v>
      </c>
      <c r="I62" s="16" t="n">
        <v>2428</v>
      </c>
      <c r="J62" s="16" t="n">
        <v>6458</v>
      </c>
      <c r="K62" s="16" t="n">
        <v>3177</v>
      </c>
      <c r="L62" s="17" t="n">
        <v>0.72</v>
      </c>
    </row>
    <row r="63" customFormat="false" ht="15" hidden="false" customHeight="false" outlineLevel="0" collapsed="false">
      <c r="A63" s="15" t="s">
        <v>45</v>
      </c>
      <c r="B63" s="15" t="s">
        <v>40</v>
      </c>
      <c r="C63" s="15" t="n">
        <v>2018</v>
      </c>
      <c r="D63" s="16" t="n">
        <v>6332</v>
      </c>
      <c r="E63" s="16" t="n">
        <v>639</v>
      </c>
      <c r="F63" s="16" t="n">
        <v>250</v>
      </c>
      <c r="G63" s="16" t="n">
        <v>259</v>
      </c>
      <c r="H63" s="16" t="n">
        <v>2900</v>
      </c>
      <c r="I63" s="16" t="n">
        <v>2562</v>
      </c>
      <c r="J63" s="16" t="n">
        <v>7044</v>
      </c>
      <c r="K63" s="16" t="n">
        <v>3208</v>
      </c>
      <c r="L63" s="17" t="n">
        <v>9.67</v>
      </c>
    </row>
    <row r="64" customFormat="false" ht="15" hidden="false" customHeight="false" outlineLevel="0" collapsed="false">
      <c r="A64" s="15" t="s">
        <v>45</v>
      </c>
      <c r="B64" s="15" t="s">
        <v>40</v>
      </c>
      <c r="C64" s="15" t="n">
        <v>2019</v>
      </c>
      <c r="D64" s="16" t="n">
        <v>6436</v>
      </c>
      <c r="E64" s="16" t="n">
        <v>633</v>
      </c>
      <c r="F64" s="16" t="n">
        <v>199</v>
      </c>
      <c r="G64" s="16" t="n">
        <v>259</v>
      </c>
      <c r="H64" s="16" t="n">
        <v>2558</v>
      </c>
      <c r="I64" s="16" t="n">
        <v>2652</v>
      </c>
      <c r="J64" s="16" t="n">
        <v>7014</v>
      </c>
      <c r="K64" s="16" t="n">
        <v>3362</v>
      </c>
      <c r="L64" s="17" t="n">
        <v>7.71</v>
      </c>
    </row>
    <row r="65" customFormat="false" ht="15" hidden="false" customHeight="false" outlineLevel="0" collapsed="false">
      <c r="A65" s="15" t="s">
        <v>45</v>
      </c>
      <c r="B65" s="15" t="s">
        <v>40</v>
      </c>
      <c r="C65" s="15" t="n">
        <v>2020</v>
      </c>
      <c r="D65" s="16" t="n">
        <v>6705</v>
      </c>
      <c r="E65" s="16" t="n">
        <v>708</v>
      </c>
      <c r="F65" s="16" t="n">
        <v>171</v>
      </c>
      <c r="G65" s="16" t="n">
        <v>259</v>
      </c>
      <c r="H65" s="16" t="n">
        <v>2595</v>
      </c>
      <c r="I65" s="16" t="n">
        <v>2431</v>
      </c>
      <c r="J65" s="16" t="n">
        <v>6815</v>
      </c>
      <c r="K65" s="16" t="n">
        <v>3532</v>
      </c>
      <c r="L65" s="17" t="n">
        <v>6.62</v>
      </c>
    </row>
    <row r="66" customFormat="false" ht="15" hidden="false" customHeight="false" outlineLevel="0" collapsed="false">
      <c r="A66" s="15" t="s">
        <v>45</v>
      </c>
      <c r="B66" s="15" t="s">
        <v>40</v>
      </c>
      <c r="C66" s="15" t="n">
        <v>2021</v>
      </c>
      <c r="D66" s="16" t="n">
        <v>4529</v>
      </c>
      <c r="E66" s="16" t="n">
        <v>477</v>
      </c>
      <c r="F66" s="16" t="n">
        <v>93</v>
      </c>
      <c r="G66" s="16" t="n">
        <v>259</v>
      </c>
      <c r="H66" s="16" t="n">
        <v>2682</v>
      </c>
      <c r="I66" s="16" t="n">
        <v>1985</v>
      </c>
      <c r="J66" s="16" t="n">
        <v>6609</v>
      </c>
      <c r="K66" s="16" t="n">
        <v>3332</v>
      </c>
      <c r="L66" s="17" t="n">
        <v>3.58</v>
      </c>
    </row>
    <row r="67" customFormat="false" ht="15" hidden="false" customHeight="false" outlineLevel="0" collapsed="false">
      <c r="A67" s="15" t="s">
        <v>45</v>
      </c>
      <c r="B67" s="15" t="s">
        <v>40</v>
      </c>
      <c r="C67" s="15" t="n">
        <v>2022</v>
      </c>
      <c r="D67" s="16" t="n">
        <v>7436</v>
      </c>
      <c r="E67" s="16" t="n">
        <v>790</v>
      </c>
      <c r="F67" s="16" t="n">
        <v>59</v>
      </c>
      <c r="G67" s="16" t="n">
        <v>261</v>
      </c>
      <c r="H67" s="16" t="n">
        <v>2751</v>
      </c>
      <c r="I67" s="16" t="n">
        <v>1783</v>
      </c>
      <c r="J67" s="16" t="n">
        <v>7413</v>
      </c>
      <c r="K67" s="16" t="n">
        <v>3268</v>
      </c>
      <c r="L67" s="17" t="n">
        <v>2.28</v>
      </c>
    </row>
    <row r="68" customFormat="false" ht="15" hidden="false" customHeight="false" outlineLevel="0" collapsed="false">
      <c r="A68" s="15" t="s">
        <v>45</v>
      </c>
      <c r="B68" s="15" t="s">
        <v>40</v>
      </c>
      <c r="C68" s="15" t="n">
        <v>2023</v>
      </c>
      <c r="D68" s="16" t="n">
        <v>7723</v>
      </c>
      <c r="E68" s="16" t="n">
        <v>720</v>
      </c>
      <c r="F68" s="16" t="n">
        <v>346</v>
      </c>
      <c r="G68" s="16" t="n">
        <v>262</v>
      </c>
      <c r="H68" s="16" t="n">
        <v>3035</v>
      </c>
      <c r="I68" s="16" t="n">
        <v>1420</v>
      </c>
      <c r="J68" s="16" t="n">
        <v>6398</v>
      </c>
      <c r="K68" s="16" t="n">
        <v>3255</v>
      </c>
      <c r="L68" s="17" t="n">
        <v>13.23</v>
      </c>
    </row>
    <row r="69" customFormat="false" ht="15" hidden="false" customHeight="false" outlineLevel="0" collapsed="false">
      <c r="A69" s="15" t="s">
        <v>45</v>
      </c>
      <c r="B69" s="15" t="s">
        <v>40</v>
      </c>
      <c r="C69" s="15" t="n">
        <v>2024</v>
      </c>
      <c r="D69" s="16" t="n">
        <v>7100</v>
      </c>
      <c r="E69" s="16" t="n">
        <v>767</v>
      </c>
      <c r="F69" s="16" t="n">
        <v>305</v>
      </c>
      <c r="G69" s="16" t="n">
        <v>262</v>
      </c>
      <c r="H69" s="16" t="n">
        <v>3215</v>
      </c>
      <c r="I69" s="16" t="n">
        <v>1320</v>
      </c>
      <c r="J69" s="16" t="n">
        <v>6729</v>
      </c>
      <c r="K69" s="16" t="n">
        <v>3288</v>
      </c>
      <c r="L69" s="17" t="n">
        <v>11.65</v>
      </c>
    </row>
    <row r="70" customFormat="false" ht="15" hidden="false" customHeight="false" outlineLevel="0" collapsed="false">
      <c r="A70" s="15" t="s">
        <v>45</v>
      </c>
      <c r="B70" s="15" t="s">
        <v>40</v>
      </c>
      <c r="C70" s="15" t="n">
        <v>2025</v>
      </c>
      <c r="D70" s="16" t="n">
        <v>6236</v>
      </c>
      <c r="E70" s="16" t="n">
        <v>581</v>
      </c>
      <c r="F70" s="16" t="n">
        <v>240</v>
      </c>
      <c r="G70" s="16" t="n">
        <v>262</v>
      </c>
      <c r="H70" s="16" t="n">
        <v>3325</v>
      </c>
      <c r="I70" s="16" t="n">
        <v>1496</v>
      </c>
      <c r="J70" s="16" t="n">
        <v>7324</v>
      </c>
      <c r="K70" s="16" t="n">
        <v>3504</v>
      </c>
      <c r="L70" s="17" t="n">
        <v>9.18</v>
      </c>
    </row>
    <row r="71" customFormat="false" ht="15" hidden="false" customHeight="false" outlineLevel="0" collapsed="false">
      <c r="A71" s="12" t="s">
        <v>46</v>
      </c>
      <c r="B71" s="12" t="s">
        <v>40</v>
      </c>
      <c r="C71" s="12" t="n">
        <v>2015</v>
      </c>
      <c r="D71" s="13" t="n">
        <v>616</v>
      </c>
      <c r="E71" s="13" t="n">
        <v>100</v>
      </c>
      <c r="F71" s="13" t="n">
        <v>41</v>
      </c>
      <c r="G71" s="13" t="n">
        <v>46</v>
      </c>
      <c r="H71" s="13" t="n">
        <v>121</v>
      </c>
      <c r="I71" s="13" t="n">
        <v>378</v>
      </c>
      <c r="J71" s="13" t="n">
        <v>610</v>
      </c>
      <c r="K71" s="13" t="n">
        <v>417</v>
      </c>
      <c r="L71" s="14" t="n">
        <v>8.94</v>
      </c>
    </row>
    <row r="72" customFormat="false" ht="15" hidden="false" customHeight="false" outlineLevel="0" collapsed="false">
      <c r="A72" s="12" t="s">
        <v>46</v>
      </c>
      <c r="B72" s="12" t="s">
        <v>40</v>
      </c>
      <c r="C72" s="12" t="n">
        <v>2016</v>
      </c>
      <c r="D72" s="13" t="n">
        <v>766</v>
      </c>
      <c r="E72" s="13" t="n">
        <v>137</v>
      </c>
      <c r="F72" s="13" t="n">
        <v>44</v>
      </c>
      <c r="G72" s="13" t="n">
        <v>46</v>
      </c>
      <c r="H72" s="13" t="n">
        <v>160</v>
      </c>
      <c r="I72" s="13" t="n">
        <v>352</v>
      </c>
      <c r="J72" s="13" t="n">
        <v>635</v>
      </c>
      <c r="K72" s="13" t="n">
        <v>399</v>
      </c>
      <c r="L72" s="14" t="n">
        <v>9.63</v>
      </c>
    </row>
    <row r="73" customFormat="false" ht="15" hidden="false" customHeight="false" outlineLevel="0" collapsed="false">
      <c r="A73" s="12" t="s">
        <v>46</v>
      </c>
      <c r="B73" s="12" t="s">
        <v>40</v>
      </c>
      <c r="C73" s="12" t="n">
        <v>2017</v>
      </c>
      <c r="D73" s="13" t="n">
        <v>933</v>
      </c>
      <c r="E73" s="13" t="n">
        <v>133</v>
      </c>
      <c r="F73" s="13" t="n">
        <v>57</v>
      </c>
      <c r="G73" s="13" t="n">
        <v>46</v>
      </c>
      <c r="H73" s="13" t="n">
        <v>218</v>
      </c>
      <c r="I73" s="13" t="n">
        <v>568</v>
      </c>
      <c r="J73" s="13" t="n">
        <v>885</v>
      </c>
      <c r="K73" s="13" t="n">
        <v>613</v>
      </c>
      <c r="L73" s="14" t="n">
        <v>12.51</v>
      </c>
    </row>
    <row r="74" customFormat="false" ht="15" hidden="false" customHeight="false" outlineLevel="0" collapsed="false">
      <c r="A74" s="12" t="s">
        <v>46</v>
      </c>
      <c r="B74" s="12" t="s">
        <v>40</v>
      </c>
      <c r="C74" s="12" t="n">
        <v>2018</v>
      </c>
      <c r="D74" s="13" t="n">
        <v>1145</v>
      </c>
      <c r="E74" s="13" t="n">
        <v>155</v>
      </c>
      <c r="F74" s="13" t="n">
        <v>52</v>
      </c>
      <c r="G74" s="13" t="n">
        <v>56</v>
      </c>
      <c r="H74" s="13" t="n">
        <v>361</v>
      </c>
      <c r="I74" s="13" t="n">
        <v>449</v>
      </c>
      <c r="J74" s="13" t="n">
        <v>929</v>
      </c>
      <c r="K74" s="13" t="n">
        <v>574</v>
      </c>
      <c r="L74" s="14" t="n">
        <v>9.43</v>
      </c>
    </row>
    <row r="75" customFormat="false" ht="15" hidden="false" customHeight="false" outlineLevel="0" collapsed="false">
      <c r="A75" s="12" t="s">
        <v>46</v>
      </c>
      <c r="B75" s="12" t="s">
        <v>40</v>
      </c>
      <c r="C75" s="12" t="n">
        <v>2019</v>
      </c>
      <c r="D75" s="13" t="n">
        <v>1241</v>
      </c>
      <c r="E75" s="13" t="n">
        <v>178</v>
      </c>
      <c r="F75" s="13" t="n">
        <v>64</v>
      </c>
      <c r="G75" s="13" t="n">
        <v>56</v>
      </c>
      <c r="H75" s="13" t="n">
        <v>426</v>
      </c>
      <c r="I75" s="13" t="n">
        <v>860</v>
      </c>
      <c r="J75" s="13" t="n">
        <v>1436</v>
      </c>
      <c r="K75" s="13" t="n">
        <v>992</v>
      </c>
      <c r="L75" s="14" t="n">
        <v>11.4</v>
      </c>
    </row>
    <row r="76" customFormat="false" ht="15" hidden="false" customHeight="false" outlineLevel="0" collapsed="false">
      <c r="A76" s="12" t="s">
        <v>46</v>
      </c>
      <c r="B76" s="12" t="s">
        <v>40</v>
      </c>
      <c r="C76" s="12" t="n">
        <v>2020</v>
      </c>
      <c r="D76" s="13" t="n">
        <v>1436</v>
      </c>
      <c r="E76" s="13" t="n">
        <v>170</v>
      </c>
      <c r="F76" s="13" t="n">
        <v>24</v>
      </c>
      <c r="G76" s="13" t="n">
        <v>56</v>
      </c>
      <c r="H76" s="13" t="n">
        <v>438</v>
      </c>
      <c r="I76" s="13" t="n">
        <v>1040</v>
      </c>
      <c r="J76" s="13" t="n">
        <v>1645</v>
      </c>
      <c r="K76" s="13" t="n">
        <v>1140</v>
      </c>
      <c r="L76" s="14" t="n">
        <v>4.24</v>
      </c>
    </row>
    <row r="77" customFormat="false" ht="15" hidden="false" customHeight="false" outlineLevel="0" collapsed="false">
      <c r="A77" s="12" t="s">
        <v>46</v>
      </c>
      <c r="B77" s="12" t="s">
        <v>40</v>
      </c>
      <c r="C77" s="12" t="n">
        <v>2021</v>
      </c>
      <c r="D77" s="13" t="n">
        <v>1622</v>
      </c>
      <c r="E77" s="13" t="n">
        <v>257</v>
      </c>
      <c r="F77" s="13" t="n">
        <v>69</v>
      </c>
      <c r="G77" s="13" t="n">
        <v>56</v>
      </c>
      <c r="H77" s="13" t="n">
        <v>507</v>
      </c>
      <c r="I77" s="13" t="n">
        <v>962</v>
      </c>
      <c r="J77" s="13" t="n">
        <v>1676</v>
      </c>
      <c r="K77" s="13" t="n">
        <v>1062</v>
      </c>
      <c r="L77" s="14" t="n">
        <v>12.25</v>
      </c>
    </row>
    <row r="78" customFormat="false" ht="15" hidden="false" customHeight="false" outlineLevel="0" collapsed="false">
      <c r="A78" s="12" t="s">
        <v>46</v>
      </c>
      <c r="B78" s="12" t="s">
        <v>40</v>
      </c>
      <c r="C78" s="12" t="n">
        <v>2022</v>
      </c>
      <c r="D78" s="13" t="n">
        <v>2690</v>
      </c>
      <c r="E78" s="13" t="n">
        <v>652</v>
      </c>
      <c r="F78" s="13" t="n">
        <v>326</v>
      </c>
      <c r="G78" s="13" t="n">
        <v>56</v>
      </c>
      <c r="H78" s="13" t="n">
        <v>820</v>
      </c>
      <c r="I78" s="13" t="n">
        <v>689</v>
      </c>
      <c r="J78" s="13" t="n">
        <v>1824</v>
      </c>
      <c r="K78" s="13" t="n">
        <v>1012</v>
      </c>
      <c r="L78" s="14" t="n">
        <v>58.01</v>
      </c>
    </row>
    <row r="79" customFormat="false" ht="15" hidden="false" customHeight="false" outlineLevel="0" collapsed="false">
      <c r="A79" s="12" t="s">
        <v>46</v>
      </c>
      <c r="B79" s="12" t="s">
        <v>40</v>
      </c>
      <c r="C79" s="12" t="n">
        <v>2023</v>
      </c>
      <c r="D79" s="13" t="n">
        <v>2404</v>
      </c>
      <c r="E79" s="13" t="n">
        <v>297</v>
      </c>
      <c r="F79" s="13" t="n">
        <v>165</v>
      </c>
      <c r="G79" s="13" t="n">
        <v>56</v>
      </c>
      <c r="H79" s="13" t="n">
        <v>973</v>
      </c>
      <c r="I79" s="13" t="n">
        <v>980</v>
      </c>
      <c r="J79" s="13" t="n">
        <v>2218</v>
      </c>
      <c r="K79" s="13" t="n">
        <v>1351</v>
      </c>
      <c r="L79" s="14" t="n">
        <v>29.32</v>
      </c>
    </row>
    <row r="80" customFormat="false" ht="15" hidden="false" customHeight="false" outlineLevel="0" collapsed="false">
      <c r="A80" s="12" t="s">
        <v>46</v>
      </c>
      <c r="B80" s="12" t="s">
        <v>40</v>
      </c>
      <c r="C80" s="12" t="n">
        <v>2024</v>
      </c>
      <c r="D80" s="13" t="n">
        <v>2902</v>
      </c>
      <c r="E80" s="13" t="n">
        <v>377</v>
      </c>
      <c r="F80" s="13" t="n">
        <v>132</v>
      </c>
      <c r="G80" s="13" t="n">
        <v>56</v>
      </c>
      <c r="H80" s="13" t="n">
        <v>1090</v>
      </c>
      <c r="I80" s="13" t="n">
        <v>1339</v>
      </c>
      <c r="J80" s="13" t="n">
        <v>2717</v>
      </c>
      <c r="K80" s="13" t="n">
        <v>1711</v>
      </c>
      <c r="L80" s="14" t="n">
        <v>23.39</v>
      </c>
    </row>
    <row r="81" customFormat="false" ht="15" hidden="false" customHeight="false" outlineLevel="0" collapsed="false">
      <c r="A81" s="12" t="s">
        <v>46</v>
      </c>
      <c r="B81" s="12" t="s">
        <v>40</v>
      </c>
      <c r="C81" s="12" t="n">
        <v>2025</v>
      </c>
      <c r="D81" s="13" t="n">
        <v>3300</v>
      </c>
      <c r="E81" s="13" t="n">
        <v>471</v>
      </c>
      <c r="F81" s="13" t="n">
        <v>175</v>
      </c>
      <c r="G81" s="13" t="n">
        <v>56</v>
      </c>
      <c r="H81" s="13" t="n">
        <v>1255</v>
      </c>
      <c r="I81" s="13" t="n">
        <v>1165</v>
      </c>
      <c r="J81" s="13" t="n">
        <v>2732</v>
      </c>
      <c r="K81" s="13" t="n">
        <v>1584</v>
      </c>
      <c r="L81" s="14" t="n">
        <v>31.2</v>
      </c>
    </row>
    <row r="82" customFormat="false" ht="15" hidden="false" customHeight="false" outlineLevel="0" collapsed="false">
      <c r="A82" s="15" t="s">
        <v>47</v>
      </c>
      <c r="B82" s="15" t="s">
        <v>40</v>
      </c>
      <c r="C82" s="15" t="n">
        <v>2015</v>
      </c>
      <c r="D82" s="16" t="n">
        <v>1867</v>
      </c>
      <c r="E82" s="16" t="n">
        <v>232</v>
      </c>
      <c r="F82" s="16" t="n">
        <v>115</v>
      </c>
      <c r="G82" s="16" t="n">
        <v>16</v>
      </c>
      <c r="H82" s="16" t="n">
        <v>544</v>
      </c>
      <c r="I82" s="16" t="n">
        <v>598</v>
      </c>
      <c r="J82" s="16" t="n">
        <v>1341</v>
      </c>
      <c r="K82" s="16" t="n">
        <v>687</v>
      </c>
      <c r="L82" s="17" t="n">
        <v>7.05</v>
      </c>
    </row>
    <row r="83" customFormat="false" ht="15" hidden="false" customHeight="false" outlineLevel="0" collapsed="false">
      <c r="A83" s="15" t="s">
        <v>47</v>
      </c>
      <c r="B83" s="15" t="s">
        <v>40</v>
      </c>
      <c r="C83" s="15" t="n">
        <v>2016</v>
      </c>
      <c r="D83" s="16" t="n">
        <v>2074</v>
      </c>
      <c r="E83" s="16" t="n">
        <v>263</v>
      </c>
      <c r="F83" s="16" t="n">
        <v>143</v>
      </c>
      <c r="G83" s="16" t="n">
        <v>16</v>
      </c>
      <c r="H83" s="16" t="n">
        <v>667</v>
      </c>
      <c r="I83" s="16" t="n">
        <v>804</v>
      </c>
      <c r="J83" s="16" t="n">
        <v>1675</v>
      </c>
      <c r="K83" s="16" t="n">
        <v>877</v>
      </c>
      <c r="L83" s="17" t="n">
        <v>8.76</v>
      </c>
    </row>
    <row r="84" customFormat="false" ht="15" hidden="false" customHeight="false" outlineLevel="0" collapsed="false">
      <c r="A84" s="15" t="s">
        <v>47</v>
      </c>
      <c r="B84" s="15" t="s">
        <v>40</v>
      </c>
      <c r="C84" s="15" t="n">
        <v>2017</v>
      </c>
      <c r="D84" s="16" t="n">
        <v>2249</v>
      </c>
      <c r="E84" s="16" t="n">
        <v>282</v>
      </c>
      <c r="F84" s="16" t="n">
        <v>158</v>
      </c>
      <c r="G84" s="16" t="n">
        <v>16</v>
      </c>
      <c r="H84" s="16" t="n">
        <v>800</v>
      </c>
      <c r="I84" s="16" t="n">
        <v>1036</v>
      </c>
      <c r="J84" s="16" t="n">
        <v>2045</v>
      </c>
      <c r="K84" s="16" t="n">
        <v>1139</v>
      </c>
      <c r="L84" s="17" t="n">
        <v>9.64</v>
      </c>
    </row>
    <row r="85" customFormat="false" ht="15" hidden="false" customHeight="false" outlineLevel="0" collapsed="false">
      <c r="A85" s="15" t="s">
        <v>47</v>
      </c>
      <c r="B85" s="15" t="s">
        <v>40</v>
      </c>
      <c r="C85" s="15" t="n">
        <v>2018</v>
      </c>
      <c r="D85" s="16" t="n">
        <v>2453</v>
      </c>
      <c r="E85" s="16" t="n">
        <v>247</v>
      </c>
      <c r="F85" s="16" t="n">
        <v>113</v>
      </c>
      <c r="G85" s="16" t="n">
        <v>16</v>
      </c>
      <c r="H85" s="16" t="n">
        <v>890</v>
      </c>
      <c r="I85" s="16" t="n">
        <v>1047</v>
      </c>
      <c r="J85" s="16" t="n">
        <v>2182</v>
      </c>
      <c r="K85" s="16" t="n">
        <v>1119</v>
      </c>
      <c r="L85" s="17" t="n">
        <v>6.91</v>
      </c>
    </row>
    <row r="86" customFormat="false" ht="15" hidden="false" customHeight="false" outlineLevel="0" collapsed="false">
      <c r="A86" s="15" t="s">
        <v>47</v>
      </c>
      <c r="B86" s="15" t="s">
        <v>40</v>
      </c>
      <c r="C86" s="15" t="n">
        <v>2019</v>
      </c>
      <c r="D86" s="16" t="n">
        <v>2562</v>
      </c>
      <c r="E86" s="16" t="n">
        <v>219</v>
      </c>
      <c r="F86" s="16" t="n">
        <v>66</v>
      </c>
      <c r="G86" s="16" t="n">
        <v>16</v>
      </c>
      <c r="H86" s="16" t="n">
        <v>930</v>
      </c>
      <c r="I86" s="16" t="n">
        <v>923</v>
      </c>
      <c r="J86" s="16" t="n">
        <v>2131</v>
      </c>
      <c r="K86" s="16" t="n">
        <v>1074</v>
      </c>
      <c r="L86" s="17" t="n">
        <v>4.01</v>
      </c>
    </row>
    <row r="87" customFormat="false" ht="15" hidden="false" customHeight="false" outlineLevel="0" collapsed="false">
      <c r="A87" s="15" t="s">
        <v>47</v>
      </c>
      <c r="B87" s="15" t="s">
        <v>40</v>
      </c>
      <c r="C87" s="15" t="n">
        <v>2020</v>
      </c>
      <c r="D87" s="16" t="n">
        <v>2379</v>
      </c>
      <c r="E87" s="16" t="n">
        <v>178</v>
      </c>
      <c r="F87" s="16" t="n">
        <v>36</v>
      </c>
      <c r="G87" s="16" t="n">
        <v>16</v>
      </c>
      <c r="H87" s="16" t="n">
        <v>955</v>
      </c>
      <c r="I87" s="16" t="n">
        <v>868</v>
      </c>
      <c r="J87" s="16" t="n">
        <v>2118</v>
      </c>
      <c r="K87" s="16" t="n">
        <v>1210</v>
      </c>
      <c r="L87" s="17" t="n">
        <v>2.2</v>
      </c>
    </row>
    <row r="88" customFormat="false" ht="15" hidden="false" customHeight="false" outlineLevel="0" collapsed="false">
      <c r="A88" s="15" t="s">
        <v>47</v>
      </c>
      <c r="B88" s="15" t="s">
        <v>40</v>
      </c>
      <c r="C88" s="15" t="n">
        <v>2021</v>
      </c>
      <c r="D88" s="16" t="n">
        <v>1861</v>
      </c>
      <c r="E88" s="16" t="n">
        <v>115</v>
      </c>
      <c r="F88" s="16" t="n">
        <v>10</v>
      </c>
      <c r="G88" s="16" t="n">
        <v>16</v>
      </c>
      <c r="H88" s="16" t="n">
        <v>964</v>
      </c>
      <c r="I88" s="16" t="n">
        <v>901</v>
      </c>
      <c r="J88" s="16" t="n">
        <v>2149</v>
      </c>
      <c r="K88" s="16" t="n">
        <v>1231</v>
      </c>
      <c r="L88" s="17" t="n">
        <v>0.58</v>
      </c>
    </row>
    <row r="89" customFormat="false" ht="15" hidden="false" customHeight="false" outlineLevel="0" collapsed="false">
      <c r="A89" s="15" t="s">
        <v>47</v>
      </c>
      <c r="B89" s="15" t="s">
        <v>40</v>
      </c>
      <c r="C89" s="15" t="n">
        <v>2022</v>
      </c>
      <c r="D89" s="16" t="n">
        <v>3042</v>
      </c>
      <c r="E89" s="16" t="n">
        <v>387</v>
      </c>
      <c r="F89" s="16" t="n">
        <v>156</v>
      </c>
      <c r="G89" s="16" t="n">
        <v>16</v>
      </c>
      <c r="H89" s="16" t="n">
        <v>1114</v>
      </c>
      <c r="I89" s="16" t="n">
        <v>938</v>
      </c>
      <c r="J89" s="16" t="n">
        <v>2442</v>
      </c>
      <c r="K89" s="16" t="n">
        <v>1187</v>
      </c>
      <c r="L89" s="17" t="n">
        <v>9.5</v>
      </c>
    </row>
    <row r="90" customFormat="false" ht="15" hidden="false" customHeight="false" outlineLevel="0" collapsed="false">
      <c r="A90" s="15" t="s">
        <v>47</v>
      </c>
      <c r="B90" s="15" t="s">
        <v>40</v>
      </c>
      <c r="C90" s="15" t="n">
        <v>2023</v>
      </c>
      <c r="D90" s="16" t="n">
        <v>3039</v>
      </c>
      <c r="E90" s="16" t="n">
        <v>264</v>
      </c>
      <c r="F90" s="16" t="n">
        <v>23</v>
      </c>
      <c r="G90" s="16" t="n">
        <v>16</v>
      </c>
      <c r="H90" s="16" t="n">
        <v>1107</v>
      </c>
      <c r="I90" s="16" t="n">
        <v>933</v>
      </c>
      <c r="J90" s="16" t="n">
        <v>2421</v>
      </c>
      <c r="K90" s="16" t="n">
        <v>1121</v>
      </c>
      <c r="L90" s="17" t="n">
        <v>1.39</v>
      </c>
    </row>
    <row r="91" customFormat="false" ht="15" hidden="false" customHeight="false" outlineLevel="0" collapsed="false">
      <c r="A91" s="15" t="s">
        <v>47</v>
      </c>
      <c r="B91" s="15" t="s">
        <v>40</v>
      </c>
      <c r="C91" s="15" t="n">
        <v>2024</v>
      </c>
      <c r="D91" s="16" t="n">
        <v>2672</v>
      </c>
      <c r="E91" s="16" t="n">
        <v>-29</v>
      </c>
      <c r="F91" s="16" t="n">
        <v>-135</v>
      </c>
      <c r="G91" s="16" t="n">
        <v>16</v>
      </c>
      <c r="H91" s="16" t="n">
        <v>960</v>
      </c>
      <c r="I91" s="16" t="n">
        <v>826</v>
      </c>
      <c r="J91" s="16" t="n">
        <v>2097</v>
      </c>
      <c r="K91" s="16" t="n">
        <v>1063</v>
      </c>
      <c r="L91" s="17" t="n">
        <v>-8.22</v>
      </c>
    </row>
    <row r="92" customFormat="false" ht="15" hidden="false" customHeight="false" outlineLevel="0" collapsed="false">
      <c r="A92" s="15" t="s">
        <v>47</v>
      </c>
      <c r="B92" s="15" t="s">
        <v>40</v>
      </c>
      <c r="C92" s="15" t="n">
        <v>2025</v>
      </c>
      <c r="D92" s="16" t="n">
        <v>2642</v>
      </c>
      <c r="E92" s="16" t="n">
        <v>46</v>
      </c>
      <c r="F92" s="16" t="n">
        <v>-84</v>
      </c>
      <c r="G92" s="16" t="n">
        <v>16</v>
      </c>
      <c r="H92" s="16" t="n">
        <v>878</v>
      </c>
      <c r="I92" s="16" t="n">
        <v>877</v>
      </c>
      <c r="J92" s="16" t="n">
        <v>2043</v>
      </c>
      <c r="K92" s="16" t="n">
        <v>1010</v>
      </c>
      <c r="L92" s="17" t="n">
        <v>-5.14</v>
      </c>
    </row>
    <row r="93" customFormat="false" ht="15" hidden="false" customHeight="false" outlineLevel="0" collapsed="false">
      <c r="A93" s="12" t="s">
        <v>48</v>
      </c>
      <c r="B93" s="12" t="s">
        <v>40</v>
      </c>
      <c r="C93" s="12" t="n">
        <v>2015</v>
      </c>
      <c r="D93" s="13" t="n">
        <v>1070</v>
      </c>
      <c r="E93" s="13" t="n">
        <v>21</v>
      </c>
      <c r="F93" s="13" t="n">
        <v>34</v>
      </c>
      <c r="G93" s="13" t="n">
        <v>17</v>
      </c>
      <c r="H93" s="13" t="n">
        <v>139</v>
      </c>
      <c r="I93" s="13" t="n">
        <v>311</v>
      </c>
      <c r="J93" s="13" t="n">
        <v>645</v>
      </c>
      <c r="K93" s="13" t="n">
        <v>127</v>
      </c>
      <c r="L93" s="14" t="n">
        <v>9.93</v>
      </c>
    </row>
    <row r="94" customFormat="false" ht="15" hidden="false" customHeight="false" outlineLevel="0" collapsed="false">
      <c r="A94" s="12" t="s">
        <v>48</v>
      </c>
      <c r="B94" s="12" t="s">
        <v>40</v>
      </c>
      <c r="C94" s="12" t="n">
        <v>2016</v>
      </c>
      <c r="D94" s="13" t="n">
        <v>1123</v>
      </c>
      <c r="E94" s="13" t="n">
        <v>37</v>
      </c>
      <c r="F94" s="13" t="n">
        <v>61</v>
      </c>
      <c r="G94" s="13" t="n">
        <v>17</v>
      </c>
      <c r="H94" s="13" t="n">
        <v>195</v>
      </c>
      <c r="I94" s="13" t="n">
        <v>343</v>
      </c>
      <c r="J94" s="13" t="n">
        <v>725</v>
      </c>
      <c r="K94" s="13" t="n">
        <v>94</v>
      </c>
      <c r="L94" s="14" t="n">
        <v>17.44</v>
      </c>
    </row>
    <row r="95" customFormat="false" ht="15" hidden="false" customHeight="false" outlineLevel="0" collapsed="false">
      <c r="A95" s="12" t="s">
        <v>48</v>
      </c>
      <c r="B95" s="12" t="s">
        <v>40</v>
      </c>
      <c r="C95" s="12" t="n">
        <v>2017</v>
      </c>
      <c r="D95" s="13" t="n">
        <v>915</v>
      </c>
      <c r="E95" s="13" t="n">
        <v>-31</v>
      </c>
      <c r="F95" s="13" t="n">
        <v>-46</v>
      </c>
      <c r="G95" s="13" t="n">
        <v>17</v>
      </c>
      <c r="H95" s="13" t="n">
        <v>148</v>
      </c>
      <c r="I95" s="13" t="n">
        <v>474</v>
      </c>
      <c r="J95" s="13" t="n">
        <v>794</v>
      </c>
      <c r="K95" s="13" t="n">
        <v>95</v>
      </c>
      <c r="L95" s="14" t="n">
        <v>-13.23</v>
      </c>
    </row>
    <row r="96" customFormat="false" ht="15" hidden="false" customHeight="false" outlineLevel="0" collapsed="false">
      <c r="A96" s="12" t="s">
        <v>48</v>
      </c>
      <c r="B96" s="12" t="s">
        <v>40</v>
      </c>
      <c r="C96" s="12" t="n">
        <v>2018</v>
      </c>
      <c r="D96" s="13" t="n">
        <v>1031</v>
      </c>
      <c r="E96" s="13" t="n">
        <v>-23</v>
      </c>
      <c r="F96" s="13" t="n">
        <v>-31</v>
      </c>
      <c r="G96" s="13" t="n">
        <v>17</v>
      </c>
      <c r="H96" s="13" t="n">
        <v>113</v>
      </c>
      <c r="I96" s="13" t="n">
        <v>472</v>
      </c>
      <c r="J96" s="13" t="n">
        <v>794</v>
      </c>
      <c r="K96" s="13" t="n">
        <v>95</v>
      </c>
      <c r="L96" s="14" t="n">
        <v>-8.83</v>
      </c>
    </row>
    <row r="97" customFormat="false" ht="15" hidden="false" customHeight="false" outlineLevel="0" collapsed="false">
      <c r="A97" s="12" t="s">
        <v>48</v>
      </c>
      <c r="B97" s="12" t="s">
        <v>40</v>
      </c>
      <c r="C97" s="12" t="n">
        <v>2019</v>
      </c>
      <c r="D97" s="13" t="n">
        <v>1173</v>
      </c>
      <c r="E97" s="13" t="n">
        <v>62</v>
      </c>
      <c r="F97" s="13" t="n">
        <v>26</v>
      </c>
      <c r="G97" s="13" t="n">
        <v>21</v>
      </c>
      <c r="H97" s="13" t="n">
        <v>218</v>
      </c>
      <c r="I97" s="13" t="n">
        <v>381</v>
      </c>
      <c r="J97" s="13" t="n">
        <v>823</v>
      </c>
      <c r="K97" s="13" t="n">
        <v>108</v>
      </c>
      <c r="L97" s="14" t="n">
        <v>5.99</v>
      </c>
    </row>
    <row r="98" customFormat="false" ht="15" hidden="false" customHeight="false" outlineLevel="0" collapsed="false">
      <c r="A98" s="12" t="s">
        <v>48</v>
      </c>
      <c r="B98" s="12" t="s">
        <v>40</v>
      </c>
      <c r="C98" s="12" t="n">
        <v>2020</v>
      </c>
      <c r="D98" s="13" t="n">
        <v>1368</v>
      </c>
      <c r="E98" s="13" t="n">
        <v>87</v>
      </c>
      <c r="F98" s="13" t="n">
        <v>32</v>
      </c>
      <c r="G98" s="13" t="n">
        <v>21</v>
      </c>
      <c r="H98" s="13" t="n">
        <v>207</v>
      </c>
      <c r="I98" s="13" t="n">
        <v>440</v>
      </c>
      <c r="J98" s="13" t="n">
        <v>939</v>
      </c>
      <c r="K98" s="13" t="n">
        <v>172</v>
      </c>
      <c r="L98" s="14" t="n">
        <v>7.56</v>
      </c>
    </row>
    <row r="99" customFormat="false" ht="15" hidden="false" customHeight="false" outlineLevel="0" collapsed="false">
      <c r="A99" s="12" t="s">
        <v>48</v>
      </c>
      <c r="B99" s="12" t="s">
        <v>40</v>
      </c>
      <c r="C99" s="12" t="n">
        <v>2021</v>
      </c>
      <c r="D99" s="13" t="n">
        <v>1209</v>
      </c>
      <c r="E99" s="13" t="n">
        <v>101</v>
      </c>
      <c r="F99" s="13" t="n">
        <v>26</v>
      </c>
      <c r="G99" s="13" t="n">
        <v>21</v>
      </c>
      <c r="H99" s="13" t="n">
        <v>270</v>
      </c>
      <c r="I99" s="13" t="n">
        <v>476</v>
      </c>
      <c r="J99" s="13" t="n">
        <v>1005</v>
      </c>
      <c r="K99" s="13" t="n">
        <v>235</v>
      </c>
      <c r="L99" s="14" t="n">
        <v>6.12</v>
      </c>
    </row>
    <row r="100" customFormat="false" ht="15" hidden="false" customHeight="false" outlineLevel="0" collapsed="false">
      <c r="A100" s="12" t="s">
        <v>48</v>
      </c>
      <c r="B100" s="12" t="s">
        <v>40</v>
      </c>
      <c r="C100" s="12" t="n">
        <v>2022</v>
      </c>
      <c r="D100" s="13" t="n">
        <v>1789</v>
      </c>
      <c r="E100" s="13" t="n">
        <v>204</v>
      </c>
      <c r="F100" s="13" t="n">
        <v>117</v>
      </c>
      <c r="G100" s="13" t="n">
        <v>29</v>
      </c>
      <c r="H100" s="13" t="n">
        <v>680</v>
      </c>
      <c r="I100" s="13" t="n">
        <v>191</v>
      </c>
      <c r="J100" s="13" t="n">
        <v>1226</v>
      </c>
      <c r="K100" s="13" t="n">
        <v>282</v>
      </c>
      <c r="L100" s="14" t="n">
        <v>19.79</v>
      </c>
    </row>
    <row r="101" customFormat="false" ht="15" hidden="false" customHeight="false" outlineLevel="0" collapsed="false">
      <c r="A101" s="12" t="s">
        <v>48</v>
      </c>
      <c r="B101" s="12" t="s">
        <v>40</v>
      </c>
      <c r="C101" s="12" t="n">
        <v>2023</v>
      </c>
      <c r="D101" s="13" t="n">
        <v>2221</v>
      </c>
      <c r="E101" s="13" t="n">
        <v>269</v>
      </c>
      <c r="F101" s="13" t="n">
        <v>178</v>
      </c>
      <c r="G101" s="13" t="n">
        <v>30</v>
      </c>
      <c r="H101" s="13" t="n">
        <v>863</v>
      </c>
      <c r="I101" s="13" t="n">
        <v>141</v>
      </c>
      <c r="J101" s="13" t="n">
        <v>1343</v>
      </c>
      <c r="K101" s="13" t="n">
        <v>261</v>
      </c>
      <c r="L101" s="14" t="n">
        <v>29.45</v>
      </c>
    </row>
    <row r="102" customFormat="false" ht="15" hidden="false" customHeight="false" outlineLevel="0" collapsed="false">
      <c r="A102" s="12" t="s">
        <v>48</v>
      </c>
      <c r="B102" s="12" t="s">
        <v>40</v>
      </c>
      <c r="C102" s="12" t="n">
        <v>2024</v>
      </c>
      <c r="D102" s="13" t="n">
        <v>2139</v>
      </c>
      <c r="E102" s="13" t="n">
        <v>255</v>
      </c>
      <c r="F102" s="13" t="n">
        <v>164</v>
      </c>
      <c r="G102" s="13" t="n">
        <v>32</v>
      </c>
      <c r="H102" s="13" t="n">
        <v>1310</v>
      </c>
      <c r="I102" s="13" t="n">
        <v>254</v>
      </c>
      <c r="J102" s="13" t="n">
        <v>1955</v>
      </c>
      <c r="K102" s="13" t="n">
        <v>254</v>
      </c>
      <c r="L102" s="14" t="n">
        <v>25.9</v>
      </c>
    </row>
    <row r="103" customFormat="false" ht="15" hidden="false" customHeight="false" outlineLevel="0" collapsed="false">
      <c r="A103" s="12" t="s">
        <v>48</v>
      </c>
      <c r="B103" s="12" t="s">
        <v>40</v>
      </c>
      <c r="C103" s="12" t="n">
        <v>2025</v>
      </c>
      <c r="D103" s="13" t="n">
        <v>2477</v>
      </c>
      <c r="E103" s="13" t="n">
        <v>244</v>
      </c>
      <c r="F103" s="13" t="n">
        <v>191</v>
      </c>
      <c r="G103" s="13" t="n">
        <v>36</v>
      </c>
      <c r="H103" s="13" t="n">
        <v>2109</v>
      </c>
      <c r="I103" s="13" t="n">
        <v>192</v>
      </c>
      <c r="J103" s="13" t="n">
        <v>2763</v>
      </c>
      <c r="K103" s="13" t="n">
        <v>272</v>
      </c>
      <c r="L103" s="14" t="n">
        <v>26.77</v>
      </c>
    </row>
    <row r="104" customFormat="false" ht="15" hidden="false" customHeight="false" outlineLevel="0" collapsed="false">
      <c r="A104" s="15" t="s">
        <v>49</v>
      </c>
      <c r="B104" s="15" t="s">
        <v>40</v>
      </c>
      <c r="C104" s="15" t="n">
        <v>2015</v>
      </c>
      <c r="D104" s="16" t="n">
        <v>1496</v>
      </c>
      <c r="E104" s="16" t="n">
        <v>174</v>
      </c>
      <c r="F104" s="16" t="n">
        <v>79</v>
      </c>
      <c r="G104" s="16" t="n">
        <v>9</v>
      </c>
      <c r="H104" s="16" t="n">
        <v>426</v>
      </c>
      <c r="I104" s="16" t="n">
        <v>309</v>
      </c>
      <c r="J104" s="16" t="n">
        <v>981</v>
      </c>
      <c r="K104" s="16" t="n">
        <v>339</v>
      </c>
      <c r="L104" s="17" t="n">
        <v>16.8</v>
      </c>
    </row>
    <row r="105" customFormat="false" ht="15" hidden="false" customHeight="false" outlineLevel="0" collapsed="false">
      <c r="A105" s="15" t="s">
        <v>49</v>
      </c>
      <c r="B105" s="15" t="s">
        <v>40</v>
      </c>
      <c r="C105" s="15" t="n">
        <v>2016</v>
      </c>
      <c r="D105" s="16" t="n">
        <v>1609</v>
      </c>
      <c r="E105" s="16" t="n">
        <v>196</v>
      </c>
      <c r="F105" s="16" t="n">
        <v>84</v>
      </c>
      <c r="G105" s="16" t="n">
        <v>9</v>
      </c>
      <c r="H105" s="16" t="n">
        <v>497</v>
      </c>
      <c r="I105" s="16" t="n">
        <v>408</v>
      </c>
      <c r="J105" s="16" t="n">
        <v>1195</v>
      </c>
      <c r="K105" s="16" t="n">
        <v>403</v>
      </c>
      <c r="L105" s="17" t="n">
        <v>17.93</v>
      </c>
    </row>
    <row r="106" customFormat="false" ht="15" hidden="false" customHeight="false" outlineLevel="0" collapsed="false">
      <c r="A106" s="15" t="s">
        <v>49</v>
      </c>
      <c r="B106" s="15" t="s">
        <v>40</v>
      </c>
      <c r="C106" s="15" t="n">
        <v>2017</v>
      </c>
      <c r="D106" s="16" t="n">
        <v>1570</v>
      </c>
      <c r="E106" s="16" t="n">
        <v>197</v>
      </c>
      <c r="F106" s="16" t="n">
        <v>91</v>
      </c>
      <c r="G106" s="16" t="n">
        <v>9</v>
      </c>
      <c r="H106" s="16" t="n">
        <v>587</v>
      </c>
      <c r="I106" s="16" t="n">
        <v>305</v>
      </c>
      <c r="J106" s="16" t="n">
        <v>1159</v>
      </c>
      <c r="K106" s="16" t="n">
        <v>445</v>
      </c>
      <c r="L106" s="17" t="n">
        <v>19.41</v>
      </c>
    </row>
    <row r="107" customFormat="false" ht="15" hidden="false" customHeight="false" outlineLevel="0" collapsed="false">
      <c r="A107" s="15" t="s">
        <v>49</v>
      </c>
      <c r="B107" s="15" t="s">
        <v>40</v>
      </c>
      <c r="C107" s="15" t="n">
        <v>2018</v>
      </c>
      <c r="D107" s="16" t="n">
        <v>1733</v>
      </c>
      <c r="E107" s="16" t="n">
        <v>246</v>
      </c>
      <c r="F107" s="16" t="n">
        <v>112</v>
      </c>
      <c r="G107" s="16" t="n">
        <v>9</v>
      </c>
      <c r="H107" s="16" t="n">
        <v>669</v>
      </c>
      <c r="I107" s="16" t="n">
        <v>573</v>
      </c>
      <c r="J107" s="16" t="n">
        <v>1553</v>
      </c>
      <c r="K107" s="16" t="n">
        <v>532</v>
      </c>
      <c r="L107" s="17" t="n">
        <v>23.81</v>
      </c>
    </row>
    <row r="108" customFormat="false" ht="15" hidden="false" customHeight="false" outlineLevel="0" collapsed="false">
      <c r="A108" s="15" t="s">
        <v>49</v>
      </c>
      <c r="B108" s="15" t="s">
        <v>40</v>
      </c>
      <c r="C108" s="15" t="n">
        <v>2019</v>
      </c>
      <c r="D108" s="16" t="n">
        <v>1815</v>
      </c>
      <c r="E108" s="16" t="n">
        <v>241</v>
      </c>
      <c r="F108" s="16" t="n">
        <v>101</v>
      </c>
      <c r="G108" s="16" t="n">
        <v>9</v>
      </c>
      <c r="H108" s="16" t="n">
        <v>748</v>
      </c>
      <c r="I108" s="16" t="n">
        <v>444</v>
      </c>
      <c r="J108" s="16" t="n">
        <v>1505</v>
      </c>
      <c r="K108" s="16" t="n">
        <v>527</v>
      </c>
      <c r="L108" s="17" t="n">
        <v>21.58</v>
      </c>
    </row>
    <row r="109" customFormat="false" ht="15" hidden="false" customHeight="false" outlineLevel="0" collapsed="false">
      <c r="A109" s="15" t="s">
        <v>49</v>
      </c>
      <c r="B109" s="15" t="s">
        <v>40</v>
      </c>
      <c r="C109" s="15" t="n">
        <v>2020</v>
      </c>
      <c r="D109" s="16" t="n">
        <v>1698</v>
      </c>
      <c r="E109" s="16" t="n">
        <v>169</v>
      </c>
      <c r="F109" s="16" t="n">
        <v>72</v>
      </c>
      <c r="G109" s="16" t="n">
        <v>9</v>
      </c>
      <c r="H109" s="16" t="n">
        <v>758</v>
      </c>
      <c r="I109" s="16" t="n">
        <v>428</v>
      </c>
      <c r="J109" s="16" t="n">
        <v>1503</v>
      </c>
      <c r="K109" s="16" t="n">
        <v>552</v>
      </c>
      <c r="L109" s="17" t="n">
        <v>15.3</v>
      </c>
    </row>
    <row r="110" customFormat="false" ht="15" hidden="false" customHeight="false" outlineLevel="0" collapsed="false">
      <c r="A110" s="15" t="s">
        <v>49</v>
      </c>
      <c r="B110" s="15" t="s">
        <v>40</v>
      </c>
      <c r="C110" s="15" t="n">
        <v>2021</v>
      </c>
      <c r="D110" s="16" t="n">
        <v>1088</v>
      </c>
      <c r="E110" s="16" t="n">
        <v>55</v>
      </c>
      <c r="F110" s="16" t="n">
        <v>5</v>
      </c>
      <c r="G110" s="16" t="n">
        <v>9</v>
      </c>
      <c r="H110" s="16" t="n">
        <v>765</v>
      </c>
      <c r="I110" s="16" t="n">
        <v>139</v>
      </c>
      <c r="J110" s="16" t="n">
        <v>1217</v>
      </c>
      <c r="K110" s="16" t="n">
        <v>490</v>
      </c>
      <c r="L110" s="17" t="n">
        <v>1.14</v>
      </c>
    </row>
    <row r="111" customFormat="false" ht="15" hidden="false" customHeight="false" outlineLevel="0" collapsed="false">
      <c r="A111" s="15" t="s">
        <v>49</v>
      </c>
      <c r="B111" s="15" t="s">
        <v>40</v>
      </c>
      <c r="C111" s="15" t="n">
        <v>2022</v>
      </c>
      <c r="D111" s="16" t="n">
        <v>1903</v>
      </c>
      <c r="E111" s="16" t="n">
        <v>334</v>
      </c>
      <c r="F111" s="16" t="n">
        <v>213</v>
      </c>
      <c r="G111" s="16" t="n">
        <v>9</v>
      </c>
      <c r="H111" s="16" t="n">
        <v>928</v>
      </c>
      <c r="I111" s="16" t="n">
        <v>223</v>
      </c>
      <c r="J111" s="16" t="n">
        <v>1515</v>
      </c>
      <c r="K111" s="16" t="n">
        <v>500</v>
      </c>
      <c r="L111" s="17" t="n">
        <v>45.34</v>
      </c>
    </row>
    <row r="112" customFormat="false" ht="15" hidden="false" customHeight="false" outlineLevel="0" collapsed="false">
      <c r="A112" s="15" t="s">
        <v>49</v>
      </c>
      <c r="B112" s="15" t="s">
        <v>40</v>
      </c>
      <c r="C112" s="15" t="n">
        <v>2023</v>
      </c>
      <c r="D112" s="16" t="n">
        <v>2229</v>
      </c>
      <c r="E112" s="16" t="n">
        <v>369</v>
      </c>
      <c r="F112" s="16" t="n">
        <v>252</v>
      </c>
      <c r="G112" s="16" t="n">
        <v>9</v>
      </c>
      <c r="H112" s="16" t="n">
        <v>1132</v>
      </c>
      <c r="I112" s="16" t="n">
        <v>163</v>
      </c>
      <c r="J112" s="16" t="n">
        <v>1640</v>
      </c>
      <c r="K112" s="16" t="n">
        <v>482</v>
      </c>
      <c r="L112" s="17" t="n">
        <v>53.73</v>
      </c>
    </row>
    <row r="113" customFormat="false" ht="15" hidden="false" customHeight="false" outlineLevel="0" collapsed="false">
      <c r="A113" s="15" t="s">
        <v>49</v>
      </c>
      <c r="B113" s="15" t="s">
        <v>40</v>
      </c>
      <c r="C113" s="15" t="n">
        <v>2024</v>
      </c>
      <c r="D113" s="16" t="n">
        <v>2087</v>
      </c>
      <c r="E113" s="16" t="n">
        <v>286</v>
      </c>
      <c r="F113" s="16" t="n">
        <v>185</v>
      </c>
      <c r="G113" s="16" t="n">
        <v>9</v>
      </c>
      <c r="H113" s="16" t="n">
        <v>1132</v>
      </c>
      <c r="I113" s="16" t="n">
        <v>175</v>
      </c>
      <c r="J113" s="16" t="n">
        <v>1606</v>
      </c>
      <c r="K113" s="16" t="n">
        <v>493</v>
      </c>
      <c r="L113" s="17" t="n">
        <v>40.7</v>
      </c>
    </row>
    <row r="114" customFormat="false" ht="15" hidden="false" customHeight="false" outlineLevel="0" collapsed="false">
      <c r="A114" s="15" t="s">
        <v>49</v>
      </c>
      <c r="B114" s="15" t="s">
        <v>40</v>
      </c>
      <c r="C114" s="15" t="n">
        <v>2025</v>
      </c>
      <c r="D114" s="16" t="n">
        <v>2220</v>
      </c>
      <c r="E114" s="16" t="n">
        <v>277</v>
      </c>
      <c r="F114" s="16" t="n">
        <v>199</v>
      </c>
      <c r="G114" s="16" t="n">
        <v>9</v>
      </c>
      <c r="H114" s="16" t="n">
        <v>1279</v>
      </c>
      <c r="I114" s="16" t="n">
        <v>262</v>
      </c>
      <c r="J114" s="16" t="n">
        <v>1893</v>
      </c>
      <c r="K114" s="16" t="n">
        <v>592</v>
      </c>
      <c r="L114" s="17" t="n">
        <v>43.8</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P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
    <col collapsed="false" customWidth="true" hidden="false" outlineLevel="0" max="3" min="3" style="0" width="10"/>
    <col collapsed="false" customWidth="true" hidden="false" outlineLevel="0" max="4" min="4" style="0" width="11"/>
    <col collapsed="false" customWidth="true" hidden="false" outlineLevel="0" max="5" min="5" style="0" width="12"/>
    <col collapsed="false" customWidth="true" hidden="false" outlineLevel="0" max="6" min="6" style="0" width="11"/>
    <col collapsed="false" customWidth="true" hidden="false" outlineLevel="0" max="7" min="7" style="0" width="12"/>
    <col collapsed="false" customWidth="true" hidden="false" outlineLevel="0" max="8" min="8" style="0" width="11"/>
    <col collapsed="false" customWidth="true" hidden="false" outlineLevel="0" max="11" min="9" style="0" width="9"/>
    <col collapsed="false" customWidth="true" hidden="false" outlineLevel="0" max="12" min="12" style="0" width="11"/>
    <col collapsed="false" customWidth="true" hidden="false" outlineLevel="0" max="13" min="13" style="0" width="12"/>
    <col collapsed="false" customWidth="true" hidden="false" outlineLevel="0" max="14" min="14" style="0" width="11"/>
    <col collapsed="false" customWidth="true" hidden="false" outlineLevel="0" max="15" min="15" style="0" width="10"/>
  </cols>
  <sheetData>
    <row r="1" customFormat="false" ht="30" hidden="false" customHeight="true" outlineLevel="0" collapsed="false">
      <c r="A1" s="18" t="s">
        <v>39</v>
      </c>
      <c r="B1" s="18"/>
      <c r="C1" s="18"/>
      <c r="D1" s="18"/>
      <c r="E1" s="18"/>
      <c r="F1" s="18"/>
      <c r="G1" s="18"/>
      <c r="H1" s="18"/>
      <c r="I1" s="18"/>
      <c r="J1" s="18"/>
      <c r="K1" s="18"/>
      <c r="L1" s="18"/>
      <c r="M1" s="18"/>
      <c r="N1" s="18"/>
      <c r="O1" s="18"/>
      <c r="P1" s="18"/>
    </row>
    <row r="3" customFormat="false" ht="18" hidden="false" customHeight="true" outlineLevel="0" collapsed="false">
      <c r="A3" s="19" t="s">
        <v>50</v>
      </c>
      <c r="B3" s="20" t="s">
        <v>51</v>
      </c>
      <c r="C3" s="20"/>
      <c r="D3" s="20"/>
      <c r="E3" s="20"/>
      <c r="F3" s="20"/>
    </row>
    <row r="4" customFormat="false" ht="18" hidden="false" customHeight="true" outlineLevel="0" collapsed="false">
      <c r="A4" s="19" t="s">
        <v>28</v>
      </c>
      <c r="B4" s="20" t="s">
        <v>40</v>
      </c>
      <c r="C4" s="20"/>
      <c r="D4" s="20"/>
      <c r="E4" s="20"/>
      <c r="F4" s="20"/>
    </row>
    <row r="5" customFormat="false" ht="18" hidden="false" customHeight="true" outlineLevel="0" collapsed="false">
      <c r="A5" s="19" t="s">
        <v>52</v>
      </c>
      <c r="B5" s="20" t="s">
        <v>53</v>
      </c>
      <c r="C5" s="20"/>
      <c r="D5" s="20"/>
      <c r="E5" s="20"/>
      <c r="F5" s="20"/>
    </row>
    <row r="6" customFormat="false" ht="18" hidden="false" customHeight="true" outlineLevel="0" collapsed="false">
      <c r="A6" s="19" t="s">
        <v>54</v>
      </c>
      <c r="B6" s="20" t="s">
        <v>55</v>
      </c>
      <c r="C6" s="20"/>
      <c r="D6" s="20"/>
      <c r="E6" s="20"/>
      <c r="F6" s="20"/>
    </row>
    <row r="7" customFormat="false" ht="18" hidden="false" customHeight="true" outlineLevel="0" collapsed="false">
      <c r="A7" s="19" t="s">
        <v>56</v>
      </c>
      <c r="B7" s="20" t="s">
        <v>57</v>
      </c>
      <c r="C7" s="20"/>
      <c r="D7" s="20"/>
      <c r="E7" s="20"/>
      <c r="F7" s="20"/>
    </row>
    <row r="8" customFormat="false" ht="18" hidden="false" customHeight="true" outlineLevel="0" collapsed="false">
      <c r="A8" s="19" t="s">
        <v>58</v>
      </c>
      <c r="B8" s="20" t="s">
        <v>59</v>
      </c>
      <c r="C8" s="20"/>
      <c r="D8" s="20"/>
      <c r="E8" s="20"/>
      <c r="F8" s="20"/>
    </row>
    <row r="9" customFormat="false" ht="18" hidden="false" customHeight="true" outlineLevel="0" collapsed="false">
      <c r="A9" s="19" t="s">
        <v>60</v>
      </c>
      <c r="B9" s="20" t="s">
        <v>61</v>
      </c>
      <c r="C9" s="20"/>
      <c r="D9" s="20"/>
      <c r="E9" s="20"/>
      <c r="F9" s="20"/>
    </row>
    <row r="10" customFormat="false" ht="18" hidden="false" customHeight="true" outlineLevel="0" collapsed="false">
      <c r="A10" s="19" t="s">
        <v>62</v>
      </c>
      <c r="B10" s="20" t="s">
        <v>63</v>
      </c>
      <c r="C10" s="20"/>
      <c r="D10" s="20"/>
      <c r="E10" s="20"/>
      <c r="F10" s="20"/>
    </row>
    <row r="11" customFormat="false" ht="18" hidden="false" customHeight="true" outlineLevel="0" collapsed="false">
      <c r="A11" s="19" t="s">
        <v>64</v>
      </c>
      <c r="B11" s="20" t="s">
        <v>65</v>
      </c>
      <c r="C11" s="20"/>
      <c r="D11" s="20"/>
      <c r="E11" s="20"/>
      <c r="F11" s="20"/>
    </row>
    <row r="13" customFormat="false" ht="15" hidden="false" customHeight="false" outlineLevel="0" collapsed="false">
      <c r="A13" s="21" t="s">
        <v>66</v>
      </c>
    </row>
    <row r="14" customFormat="false" ht="23.85" hidden="false" customHeight="false" outlineLevel="0" collapsed="false">
      <c r="A14" s="11" t="s">
        <v>67</v>
      </c>
      <c r="B14" s="11" t="s">
        <v>30</v>
      </c>
      <c r="C14" s="11" t="s">
        <v>68</v>
      </c>
      <c r="D14" s="11" t="s">
        <v>32</v>
      </c>
      <c r="E14" s="11" t="s">
        <v>69</v>
      </c>
      <c r="F14" s="11" t="s">
        <v>35</v>
      </c>
      <c r="G14" s="11" t="s">
        <v>36</v>
      </c>
      <c r="H14" s="11" t="s">
        <v>70</v>
      </c>
      <c r="I14" s="11" t="s">
        <v>71</v>
      </c>
      <c r="J14" s="11" t="s">
        <v>72</v>
      </c>
      <c r="K14" s="11" t="s">
        <v>73</v>
      </c>
      <c r="L14" s="11" t="s">
        <v>74</v>
      </c>
      <c r="M14" s="11" t="s">
        <v>75</v>
      </c>
      <c r="N14" s="11" t="s">
        <v>76</v>
      </c>
      <c r="O14" s="11" t="s">
        <v>38</v>
      </c>
    </row>
    <row r="15" customFormat="false" ht="15" hidden="false" customHeight="false" outlineLevel="0" collapsed="false">
      <c r="A15" s="12" t="s">
        <v>77</v>
      </c>
      <c r="B15" s="22" t="n">
        <f aca="false">'Raw Data'!D6</f>
        <v>1961</v>
      </c>
      <c r="C15" s="22" t="n">
        <f aca="false">'Raw Data'!E6</f>
        <v>356</v>
      </c>
      <c r="D15" s="22" t="n">
        <f aca="false">'Raw Data'!F6</f>
        <v>156</v>
      </c>
      <c r="E15" s="22" t="n">
        <f aca="false">'Raw Data'!G6+'Raw Data'!H6</f>
        <v>981</v>
      </c>
      <c r="F15" s="22" t="n">
        <f aca="false">'Raw Data'!I6</f>
        <v>590</v>
      </c>
      <c r="G15" s="22" t="n">
        <f aca="false">'Raw Data'!J6</f>
        <v>1730</v>
      </c>
      <c r="H15" s="22" t="n">
        <f aca="false">'Raw Data'!K6</f>
        <v>894</v>
      </c>
      <c r="I15" s="23" t="n">
        <f aca="false">F15/E15</f>
        <v>0.601427115188583</v>
      </c>
      <c r="J15" s="24" t="n">
        <f aca="false">D15/E15</f>
        <v>0.159021406727829</v>
      </c>
      <c r="K15" s="24" t="n">
        <f aca="false">D15/G15</f>
        <v>0.0901734104046243</v>
      </c>
      <c r="L15" s="25" t="n">
        <f aca="false">LN(G15)</f>
        <v>7.45587668749182</v>
      </c>
      <c r="M15" s="24" t="n">
        <f aca="false">(B15-'Raw Data'!D5)/'Raw Data'!D5</f>
        <v>-0.0572115384615385</v>
      </c>
      <c r="N15" s="24" t="n">
        <f aca="false">H15/G15</f>
        <v>0.516763005780347</v>
      </c>
      <c r="O15" s="23" t="n">
        <f aca="false">'Raw Data'!L6</f>
        <v>4.14</v>
      </c>
    </row>
    <row r="16" customFormat="false" ht="15" hidden="false" customHeight="false" outlineLevel="0" collapsed="false">
      <c r="A16" s="15" t="s">
        <v>78</v>
      </c>
      <c r="B16" s="26" t="n">
        <f aca="false">'Raw Data'!D7</f>
        <v>2219</v>
      </c>
      <c r="C16" s="26" t="n">
        <f aca="false">'Raw Data'!E7</f>
        <v>446</v>
      </c>
      <c r="D16" s="26" t="n">
        <f aca="false">'Raw Data'!F7</f>
        <v>238</v>
      </c>
      <c r="E16" s="26" t="n">
        <f aca="false">'Raw Data'!G7+'Raw Data'!H7</f>
        <v>1118</v>
      </c>
      <c r="F16" s="26" t="n">
        <f aca="false">'Raw Data'!I7</f>
        <v>491</v>
      </c>
      <c r="G16" s="26" t="n">
        <f aca="false">'Raw Data'!J7</f>
        <v>1800</v>
      </c>
      <c r="H16" s="26" t="n">
        <f aca="false">'Raw Data'!K7</f>
        <v>918</v>
      </c>
      <c r="I16" s="27" t="n">
        <f aca="false">F16/E16</f>
        <v>0.4391771019678</v>
      </c>
      <c r="J16" s="28" t="n">
        <f aca="false">D16/E16</f>
        <v>0.212880143112701</v>
      </c>
      <c r="K16" s="28" t="n">
        <f aca="false">D16/G16</f>
        <v>0.132222222222222</v>
      </c>
      <c r="L16" s="29" t="n">
        <f aca="false">LN(G16)</f>
        <v>7.49554194388426</v>
      </c>
      <c r="M16" s="28" t="n">
        <f aca="false">(B16-'Raw Data'!D6)/'Raw Data'!D6</f>
        <v>0.131565527791943</v>
      </c>
      <c r="N16" s="28" t="n">
        <f aca="false">H16/G16</f>
        <v>0.51</v>
      </c>
      <c r="O16" s="27" t="n">
        <f aca="false">'Raw Data'!L7</f>
        <v>6.45</v>
      </c>
    </row>
    <row r="17" customFormat="false" ht="15" hidden="false" customHeight="false" outlineLevel="0" collapsed="false">
      <c r="A17" s="12" t="s">
        <v>79</v>
      </c>
      <c r="B17" s="22" t="n">
        <f aca="false">'Raw Data'!D8</f>
        <v>2512</v>
      </c>
      <c r="C17" s="22" t="n">
        <f aca="false">'Raw Data'!E8</f>
        <v>429</v>
      </c>
      <c r="D17" s="22" t="n">
        <f aca="false">'Raw Data'!F8</f>
        <v>225</v>
      </c>
      <c r="E17" s="22" t="n">
        <f aca="false">'Raw Data'!G8+'Raw Data'!H8</f>
        <v>1337</v>
      </c>
      <c r="F17" s="22" t="n">
        <f aca="false">'Raw Data'!I8</f>
        <v>346</v>
      </c>
      <c r="G17" s="22" t="n">
        <f aca="false">'Raw Data'!J8</f>
        <v>1930</v>
      </c>
      <c r="H17" s="22" t="n">
        <f aca="false">'Raw Data'!K8</f>
        <v>865</v>
      </c>
      <c r="I17" s="23" t="n">
        <f aca="false">F17/E17</f>
        <v>0.258788332086761</v>
      </c>
      <c r="J17" s="24" t="n">
        <f aca="false">D17/E17</f>
        <v>0.168287210172027</v>
      </c>
      <c r="K17" s="24" t="n">
        <f aca="false">D17/G17</f>
        <v>0.116580310880829</v>
      </c>
      <c r="L17" s="25" t="n">
        <f aca="false">LN(G17)</f>
        <v>7.56527528189893</v>
      </c>
      <c r="M17" s="24" t="n">
        <f aca="false">(B17-'Raw Data'!D7)/'Raw Data'!D7</f>
        <v>0.13204146011717</v>
      </c>
      <c r="N17" s="24" t="n">
        <f aca="false">H17/G17</f>
        <v>0.448186528497409</v>
      </c>
      <c r="O17" s="23" t="n">
        <f aca="false">'Raw Data'!L8</f>
        <v>6.09</v>
      </c>
    </row>
    <row r="18" customFormat="false" ht="15" hidden="false" customHeight="false" outlineLevel="0" collapsed="false">
      <c r="A18" s="15" t="s">
        <v>80</v>
      </c>
      <c r="B18" s="26" t="n">
        <f aca="false">'Raw Data'!D9</f>
        <v>2979</v>
      </c>
      <c r="C18" s="26" t="n">
        <f aca="false">'Raw Data'!E9</f>
        <v>507</v>
      </c>
      <c r="D18" s="26" t="n">
        <f aca="false">'Raw Data'!F9</f>
        <v>289</v>
      </c>
      <c r="E18" s="26" t="n">
        <f aca="false">'Raw Data'!G9+'Raw Data'!H9</f>
        <v>1511</v>
      </c>
      <c r="F18" s="26" t="n">
        <f aca="false">'Raw Data'!I9</f>
        <v>654</v>
      </c>
      <c r="G18" s="26" t="n">
        <f aca="false">'Raw Data'!J9</f>
        <v>2397</v>
      </c>
      <c r="H18" s="26" t="n">
        <f aca="false">'Raw Data'!K9</f>
        <v>798</v>
      </c>
      <c r="I18" s="27" t="n">
        <f aca="false">F18/E18</f>
        <v>0.43282594308405</v>
      </c>
      <c r="J18" s="28" t="n">
        <f aca="false">D18/E18</f>
        <v>0.191264063534083</v>
      </c>
      <c r="K18" s="28" t="n">
        <f aca="false">D18/G18</f>
        <v>0.120567375886525</v>
      </c>
      <c r="L18" s="29" t="n">
        <f aca="false">LN(G18)</f>
        <v>7.78197323443439</v>
      </c>
      <c r="M18" s="28" t="n">
        <f aca="false">(B18-'Raw Data'!D8)/'Raw Data'!D8</f>
        <v>0.185907643312102</v>
      </c>
      <c r="N18" s="28" t="n">
        <f aca="false">H18/G18</f>
        <v>0.332916145181477</v>
      </c>
      <c r="O18" s="27" t="n">
        <f aca="false">'Raw Data'!L9</f>
        <v>7.97</v>
      </c>
    </row>
    <row r="19" customFormat="false" ht="15" hidden="false" customHeight="false" outlineLevel="0" collapsed="false">
      <c r="A19" s="12" t="s">
        <v>81</v>
      </c>
      <c r="B19" s="22" t="n">
        <f aca="false">'Raw Data'!D10</f>
        <v>2898</v>
      </c>
      <c r="C19" s="22" t="n">
        <f aca="false">'Raw Data'!E10</f>
        <v>475</v>
      </c>
      <c r="D19" s="22" t="n">
        <f aca="false">'Raw Data'!F10</f>
        <v>295</v>
      </c>
      <c r="E19" s="22" t="n">
        <f aca="false">'Raw Data'!G10+'Raw Data'!H10</f>
        <v>1504</v>
      </c>
      <c r="F19" s="22" t="n">
        <f aca="false">'Raw Data'!I10</f>
        <v>472</v>
      </c>
      <c r="G19" s="22" t="n">
        <f aca="false">'Raw Data'!J10</f>
        <v>2187</v>
      </c>
      <c r="H19" s="22" t="n">
        <f aca="false">'Raw Data'!K10</f>
        <v>873</v>
      </c>
      <c r="I19" s="23" t="n">
        <f aca="false">F19/E19</f>
        <v>0.313829787234043</v>
      </c>
      <c r="J19" s="24" t="n">
        <f aca="false">D19/E19</f>
        <v>0.196143617021277</v>
      </c>
      <c r="K19" s="24" t="n">
        <f aca="false">D19/G19</f>
        <v>0.134887974394147</v>
      </c>
      <c r="L19" s="25" t="n">
        <f aca="false">LN(G19)</f>
        <v>7.69028602067677</v>
      </c>
      <c r="M19" s="24" t="n">
        <f aca="false">(B19-'Raw Data'!D9)/'Raw Data'!D9</f>
        <v>-0.027190332326284</v>
      </c>
      <c r="N19" s="24" t="n">
        <f aca="false">H19/G19</f>
        <v>0.39917695473251</v>
      </c>
      <c r="O19" s="23" t="n">
        <f aca="false">'Raw Data'!L10</f>
        <v>8.56</v>
      </c>
    </row>
    <row r="20" customFormat="false" ht="15" hidden="false" customHeight="false" outlineLevel="0" collapsed="false">
      <c r="A20" s="15" t="s">
        <v>82</v>
      </c>
      <c r="B20" s="26" t="n">
        <f aca="false">'Raw Data'!D11</f>
        <v>2954</v>
      </c>
      <c r="C20" s="26" t="n">
        <f aca="false">'Raw Data'!E11</f>
        <v>664</v>
      </c>
      <c r="D20" s="26" t="n">
        <f aca="false">'Raw Data'!F11</f>
        <v>433</v>
      </c>
      <c r="E20" s="26" t="n">
        <f aca="false">'Raw Data'!G11+'Raw Data'!H11</f>
        <v>1906</v>
      </c>
      <c r="F20" s="26" t="n">
        <f aca="false">'Raw Data'!I11</f>
        <v>317</v>
      </c>
      <c r="G20" s="26" t="n">
        <f aca="false">'Raw Data'!J11</f>
        <v>2485</v>
      </c>
      <c r="H20" s="26" t="n">
        <f aca="false">'Raw Data'!K11</f>
        <v>815</v>
      </c>
      <c r="I20" s="27" t="n">
        <f aca="false">F20/E20</f>
        <v>0.166316894018888</v>
      </c>
      <c r="J20" s="28" t="n">
        <f aca="false">D20/E20</f>
        <v>0.227177334732424</v>
      </c>
      <c r="K20" s="28" t="n">
        <f aca="false">D20/G20</f>
        <v>0.174245472837022</v>
      </c>
      <c r="L20" s="29" t="n">
        <f aca="false">LN(G20)</f>
        <v>7.81802793853073</v>
      </c>
      <c r="M20" s="28" t="n">
        <f aca="false">(B20-'Raw Data'!D10)/'Raw Data'!D10</f>
        <v>0.0193236714975845</v>
      </c>
      <c r="N20" s="28" t="n">
        <f aca="false">H20/G20</f>
        <v>0.327967806841046</v>
      </c>
      <c r="O20" s="27" t="n">
        <f aca="false">'Raw Data'!L11</f>
        <v>12.57</v>
      </c>
    </row>
    <row r="21" customFormat="false" ht="15" hidden="false" customHeight="false" outlineLevel="0" collapsed="false">
      <c r="A21" s="12" t="s">
        <v>83</v>
      </c>
      <c r="B21" s="22" t="n">
        <f aca="false">'Raw Data'!D12</f>
        <v>4074</v>
      </c>
      <c r="C21" s="22" t="n">
        <f aca="false">'Raw Data'!E12</f>
        <v>984</v>
      </c>
      <c r="D21" s="22" t="n">
        <f aca="false">'Raw Data'!F12</f>
        <v>731</v>
      </c>
      <c r="E21" s="22" t="n">
        <f aca="false">'Raw Data'!G12+'Raw Data'!H12</f>
        <v>2632</v>
      </c>
      <c r="F21" s="22" t="n">
        <f aca="false">'Raw Data'!I12</f>
        <v>418</v>
      </c>
      <c r="G21" s="22" t="n">
        <f aca="false">'Raw Data'!J12</f>
        <v>3359</v>
      </c>
      <c r="H21" s="22" t="n">
        <f aca="false">'Raw Data'!K12</f>
        <v>850</v>
      </c>
      <c r="I21" s="23" t="n">
        <f aca="false">F21/E21</f>
        <v>0.158814589665653</v>
      </c>
      <c r="J21" s="24" t="n">
        <f aca="false">D21/E21</f>
        <v>0.27773556231003</v>
      </c>
      <c r="K21" s="24" t="n">
        <f aca="false">D21/G21</f>
        <v>0.217624292944329</v>
      </c>
      <c r="L21" s="25" t="n">
        <f aca="false">LN(G21)</f>
        <v>8.11939858961229</v>
      </c>
      <c r="M21" s="24" t="n">
        <f aca="false">(B21-'Raw Data'!D11)/'Raw Data'!D11</f>
        <v>0.37914691943128</v>
      </c>
      <c r="N21" s="24" t="n">
        <f aca="false">H21/G21</f>
        <v>0.253051503423638</v>
      </c>
      <c r="O21" s="23" t="n">
        <f aca="false">'Raw Data'!L12</f>
        <v>21.24</v>
      </c>
    </row>
    <row r="22" customFormat="false" ht="15" hidden="false" customHeight="false" outlineLevel="0" collapsed="false">
      <c r="A22" s="15" t="s">
        <v>84</v>
      </c>
      <c r="B22" s="26" t="n">
        <f aca="false">'Raw Data'!D13</f>
        <v>4740</v>
      </c>
      <c r="C22" s="26" t="n">
        <f aca="false">'Raw Data'!E13</f>
        <v>799</v>
      </c>
      <c r="D22" s="26" t="n">
        <f aca="false">'Raw Data'!F13</f>
        <v>635</v>
      </c>
      <c r="E22" s="26" t="n">
        <f aca="false">'Raw Data'!G13+'Raw Data'!H13</f>
        <v>2973</v>
      </c>
      <c r="F22" s="26" t="n">
        <f aca="false">'Raw Data'!I13</f>
        <v>498</v>
      </c>
      <c r="G22" s="26" t="n">
        <f aca="false">'Raw Data'!J13</f>
        <v>3874</v>
      </c>
      <c r="H22" s="26" t="n">
        <f aca="false">'Raw Data'!K13</f>
        <v>971</v>
      </c>
      <c r="I22" s="27" t="n">
        <f aca="false">F22/E22</f>
        <v>0.167507568113017</v>
      </c>
      <c r="J22" s="28" t="n">
        <f aca="false">D22/E22</f>
        <v>0.213588967373024</v>
      </c>
      <c r="K22" s="28" t="n">
        <f aca="false">D22/G22</f>
        <v>0.163913267940114</v>
      </c>
      <c r="L22" s="29" t="n">
        <f aca="false">LN(G22)</f>
        <v>8.26204284396694</v>
      </c>
      <c r="M22" s="28" t="n">
        <f aca="false">(B22-'Raw Data'!D12)/'Raw Data'!D12</f>
        <v>0.163475699558174</v>
      </c>
      <c r="N22" s="28" t="n">
        <f aca="false">H22/G22</f>
        <v>0.250645327826536</v>
      </c>
      <c r="O22" s="27" t="n">
        <f aca="false">'Raw Data'!L13</f>
        <v>18.58</v>
      </c>
    </row>
    <row r="23" customFormat="false" ht="15" hidden="false" customHeight="false" outlineLevel="0" collapsed="false">
      <c r="A23" s="12" t="s">
        <v>85</v>
      </c>
      <c r="B23" s="22" t="n">
        <f aca="false">'Raw Data'!D14</f>
        <v>4054</v>
      </c>
      <c r="C23" s="22" t="n">
        <f aca="false">'Raw Data'!E14</f>
        <v>595</v>
      </c>
      <c r="D23" s="22" t="n">
        <f aca="false">'Raw Data'!F14</f>
        <v>555</v>
      </c>
      <c r="E23" s="22" t="n">
        <f aca="false">'Raw Data'!G14+'Raw Data'!H14</f>
        <v>3374</v>
      </c>
      <c r="F23" s="22" t="n">
        <f aca="false">'Raw Data'!I14</f>
        <v>287</v>
      </c>
      <c r="G23" s="22" t="n">
        <f aca="false">'Raw Data'!J14</f>
        <v>3919</v>
      </c>
      <c r="H23" s="22" t="n">
        <f aca="false">'Raw Data'!K14</f>
        <v>1070</v>
      </c>
      <c r="I23" s="23" t="n">
        <f aca="false">F23/E23</f>
        <v>0.0850622406639004</v>
      </c>
      <c r="J23" s="24" t="n">
        <f aca="false">D23/E23</f>
        <v>0.164493183165382</v>
      </c>
      <c r="K23" s="24" t="n">
        <f aca="false">D23/G23</f>
        <v>0.141617759632559</v>
      </c>
      <c r="L23" s="25" t="n">
        <f aca="false">LN(G23)</f>
        <v>8.27359179819963</v>
      </c>
      <c r="M23" s="24" t="n">
        <f aca="false">(B23-'Raw Data'!D13)/'Raw Data'!D13</f>
        <v>-0.144725738396624</v>
      </c>
      <c r="N23" s="24" t="n">
        <f aca="false">H23/G23</f>
        <v>0.273028833886196</v>
      </c>
      <c r="O23" s="23" t="n">
        <f aca="false">'Raw Data'!L14</f>
        <v>16.23</v>
      </c>
    </row>
    <row r="24" customFormat="false" ht="15" hidden="false" customHeight="false" outlineLevel="0" collapsed="false">
      <c r="A24" s="15" t="s">
        <v>86</v>
      </c>
      <c r="B24" s="26" t="n">
        <f aca="false">'Raw Data'!D15</f>
        <v>4216</v>
      </c>
      <c r="C24" s="26" t="n">
        <f aca="false">'Raw Data'!E15</f>
        <v>764</v>
      </c>
      <c r="D24" s="26" t="n">
        <f aca="false">'Raw Data'!F15</f>
        <v>653</v>
      </c>
      <c r="E24" s="26" t="n">
        <f aca="false">'Raw Data'!G15+'Raw Data'!H15</f>
        <v>3856</v>
      </c>
      <c r="F24" s="26" t="n">
        <f aca="false">'Raw Data'!I15</f>
        <v>241</v>
      </c>
      <c r="G24" s="26" t="n">
        <f aca="false">'Raw Data'!J15</f>
        <v>4403</v>
      </c>
      <c r="H24" s="26" t="n">
        <f aca="false">'Raw Data'!K15</f>
        <v>1122</v>
      </c>
      <c r="I24" s="27" t="n">
        <f aca="false">F24/E24</f>
        <v>0.0625</v>
      </c>
      <c r="J24" s="28" t="n">
        <f aca="false">D24/E24</f>
        <v>0.169346473029046</v>
      </c>
      <c r="K24" s="28" t="n">
        <f aca="false">D24/G24</f>
        <v>0.148307971837384</v>
      </c>
      <c r="L24" s="29" t="n">
        <f aca="false">LN(G24)</f>
        <v>8.39004140575575</v>
      </c>
      <c r="M24" s="28" t="n">
        <f aca="false">(B24-'Raw Data'!D14)/'Raw Data'!D14</f>
        <v>0.0399605328071041</v>
      </c>
      <c r="N24" s="28" t="n">
        <f aca="false">H24/G24</f>
        <v>0.254826254826255</v>
      </c>
      <c r="O24" s="27" t="n">
        <f aca="false">'Raw Data'!L15</f>
        <v>19.11</v>
      </c>
    </row>
    <row r="25" customFormat="false" ht="15" hidden="false" customHeight="false" outlineLevel="0" collapsed="false">
      <c r="A25" s="30" t="s">
        <v>87</v>
      </c>
      <c r="B25" s="31" t="n">
        <f aca="false">AVERAGE(B15:B24)</f>
        <v>3260.7</v>
      </c>
      <c r="C25" s="31" t="n">
        <f aca="false">AVERAGE(C15:C24)</f>
        <v>601.9</v>
      </c>
      <c r="D25" s="31" t="n">
        <f aca="false">AVERAGE(D15:D24)</f>
        <v>421</v>
      </c>
      <c r="E25" s="31" t="n">
        <f aca="false">AVERAGE(E15:E24)</f>
        <v>2119.2</v>
      </c>
      <c r="F25" s="31" t="n">
        <f aca="false">AVERAGE(F15:F24)</f>
        <v>431.4</v>
      </c>
      <c r="G25" s="31" t="n">
        <f aca="false">AVERAGE(G15:G24)</f>
        <v>2808.4</v>
      </c>
      <c r="H25" s="31" t="n">
        <f aca="false">AVERAGE(H15:H24)</f>
        <v>917.6</v>
      </c>
      <c r="I25" s="32" t="n">
        <f aca="false">AVERAGE(I15:I24)</f>
        <v>0.26862495720227</v>
      </c>
      <c r="J25" s="33" t="n">
        <f aca="false">AVERAGE(J15:J24)</f>
        <v>0.197993796117782</v>
      </c>
      <c r="K25" s="33" t="n">
        <f aca="false">AVERAGE(K15:K24)</f>
        <v>0.144014005897975</v>
      </c>
      <c r="L25" s="34" t="n">
        <f aca="false">AVERAGE(L15:L24)</f>
        <v>7.88520557444515</v>
      </c>
      <c r="M25" s="33" t="n">
        <f aca="false">AVERAGE(M15:M24)</f>
        <v>0.082229384533091</v>
      </c>
      <c r="N25" s="33" t="n">
        <f aca="false">AVERAGE(N15:N24)</f>
        <v>0.356656236099541</v>
      </c>
      <c r="O25" s="32" t="n">
        <f aca="false">AVERAGE(O15:O24)</f>
        <v>12.094</v>
      </c>
    </row>
    <row r="27" customFormat="false" ht="15" hidden="false" customHeight="false" outlineLevel="0" collapsed="false">
      <c r="A27" s="35" t="s">
        <v>88</v>
      </c>
      <c r="I27" s="36" t="n">
        <f aca="false">STDEV(I15:I24)</f>
        <v>0.175714497578238</v>
      </c>
      <c r="J27" s="37" t="n">
        <f aca="false">STDEV(J15:J24)</f>
        <v>0.0366185167638417</v>
      </c>
      <c r="K27" s="37" t="n">
        <f aca="false">STDEV(K15:K24)</f>
        <v>0.0352389764313121</v>
      </c>
      <c r="O27" s="36" t="n">
        <f aca="false">STDEV(O15:O24)</f>
        <v>6.26223460293705</v>
      </c>
    </row>
  </sheetData>
  <mergeCells count="10">
    <mergeCell ref="A1:P1"/>
    <mergeCell ref="B3:F3"/>
    <mergeCell ref="B4:F4"/>
    <mergeCell ref="B5:F5"/>
    <mergeCell ref="B6:F6"/>
    <mergeCell ref="B7:F7"/>
    <mergeCell ref="B8:F8"/>
    <mergeCell ref="B9:F9"/>
    <mergeCell ref="B10:F10"/>
    <mergeCell ref="B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P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
    <col collapsed="false" customWidth="true" hidden="false" outlineLevel="0" max="3" min="3" style="0" width="10"/>
    <col collapsed="false" customWidth="true" hidden="false" outlineLevel="0" max="4" min="4" style="0" width="11"/>
    <col collapsed="false" customWidth="true" hidden="false" outlineLevel="0" max="5" min="5" style="0" width="12"/>
    <col collapsed="false" customWidth="true" hidden="false" outlineLevel="0" max="6" min="6" style="0" width="11"/>
    <col collapsed="false" customWidth="true" hidden="false" outlineLevel="0" max="7" min="7" style="0" width="12"/>
    <col collapsed="false" customWidth="true" hidden="false" outlineLevel="0" max="8" min="8" style="0" width="11"/>
    <col collapsed="false" customWidth="true" hidden="false" outlineLevel="0" max="11" min="9" style="0" width="9"/>
    <col collapsed="false" customWidth="true" hidden="false" outlineLevel="0" max="12" min="12" style="0" width="11"/>
    <col collapsed="false" customWidth="true" hidden="false" outlineLevel="0" max="13" min="13" style="0" width="12"/>
    <col collapsed="false" customWidth="true" hidden="false" outlineLevel="0" max="14" min="14" style="0" width="11"/>
    <col collapsed="false" customWidth="true" hidden="false" outlineLevel="0" max="15" min="15" style="0" width="10"/>
  </cols>
  <sheetData>
    <row r="1" customFormat="false" ht="30" hidden="false" customHeight="true" outlineLevel="0" collapsed="false">
      <c r="A1" s="18" t="s">
        <v>41</v>
      </c>
      <c r="B1" s="18"/>
      <c r="C1" s="18"/>
      <c r="D1" s="18"/>
      <c r="E1" s="18"/>
      <c r="F1" s="18"/>
      <c r="G1" s="18"/>
      <c r="H1" s="18"/>
      <c r="I1" s="18"/>
      <c r="J1" s="18"/>
      <c r="K1" s="18"/>
      <c r="L1" s="18"/>
      <c r="M1" s="18"/>
      <c r="N1" s="18"/>
      <c r="O1" s="18"/>
      <c r="P1" s="18"/>
    </row>
    <row r="3" customFormat="false" ht="18" hidden="false" customHeight="true" outlineLevel="0" collapsed="false">
      <c r="A3" s="19" t="s">
        <v>50</v>
      </c>
      <c r="B3" s="20" t="s">
        <v>89</v>
      </c>
      <c r="C3" s="20"/>
      <c r="D3" s="20"/>
      <c r="E3" s="20"/>
      <c r="F3" s="20"/>
    </row>
    <row r="4" customFormat="false" ht="18" hidden="false" customHeight="true" outlineLevel="0" collapsed="false">
      <c r="A4" s="19" t="s">
        <v>28</v>
      </c>
      <c r="B4" s="20" t="s">
        <v>40</v>
      </c>
      <c r="C4" s="20"/>
      <c r="D4" s="20"/>
      <c r="E4" s="20"/>
      <c r="F4" s="20"/>
    </row>
    <row r="5" customFormat="false" ht="18" hidden="false" customHeight="true" outlineLevel="0" collapsed="false">
      <c r="A5" s="19" t="s">
        <v>52</v>
      </c>
      <c r="B5" s="20" t="s">
        <v>90</v>
      </c>
      <c r="C5" s="20"/>
      <c r="D5" s="20"/>
      <c r="E5" s="20"/>
      <c r="F5" s="20"/>
    </row>
    <row r="6" customFormat="false" ht="18" hidden="false" customHeight="true" outlineLevel="0" collapsed="false">
      <c r="A6" s="19" t="s">
        <v>54</v>
      </c>
      <c r="B6" s="20" t="s">
        <v>91</v>
      </c>
      <c r="C6" s="20"/>
      <c r="D6" s="20"/>
      <c r="E6" s="20"/>
      <c r="F6" s="20"/>
    </row>
    <row r="7" customFormat="false" ht="18" hidden="false" customHeight="true" outlineLevel="0" collapsed="false">
      <c r="A7" s="19" t="s">
        <v>56</v>
      </c>
      <c r="B7" s="20" t="s">
        <v>92</v>
      </c>
      <c r="C7" s="20"/>
      <c r="D7" s="20"/>
      <c r="E7" s="20"/>
      <c r="F7" s="20"/>
    </row>
    <row r="8" customFormat="false" ht="18" hidden="false" customHeight="true" outlineLevel="0" collapsed="false">
      <c r="A8" s="19" t="s">
        <v>58</v>
      </c>
      <c r="B8" s="20" t="s">
        <v>93</v>
      </c>
      <c r="C8" s="20"/>
      <c r="D8" s="20"/>
      <c r="E8" s="20"/>
      <c r="F8" s="20"/>
    </row>
    <row r="9" customFormat="false" ht="18" hidden="false" customHeight="true" outlineLevel="0" collapsed="false">
      <c r="A9" s="19" t="s">
        <v>60</v>
      </c>
      <c r="B9" s="20" t="s">
        <v>94</v>
      </c>
      <c r="C9" s="20"/>
      <c r="D9" s="20"/>
      <c r="E9" s="20"/>
      <c r="F9" s="20"/>
    </row>
    <row r="10" customFormat="false" ht="18" hidden="false" customHeight="true" outlineLevel="0" collapsed="false">
      <c r="A10" s="19" t="s">
        <v>62</v>
      </c>
      <c r="B10" s="20" t="s">
        <v>95</v>
      </c>
      <c r="C10" s="20"/>
      <c r="D10" s="20"/>
      <c r="E10" s="20"/>
      <c r="F10" s="20"/>
    </row>
    <row r="11" customFormat="false" ht="18" hidden="false" customHeight="true" outlineLevel="0" collapsed="false">
      <c r="A11" s="19" t="s">
        <v>64</v>
      </c>
      <c r="B11" s="20" t="s">
        <v>65</v>
      </c>
      <c r="C11" s="20"/>
      <c r="D11" s="20"/>
      <c r="E11" s="20"/>
      <c r="F11" s="20"/>
    </row>
    <row r="13" customFormat="false" ht="15" hidden="false" customHeight="false" outlineLevel="0" collapsed="false">
      <c r="A13" s="21" t="s">
        <v>66</v>
      </c>
    </row>
    <row r="14" customFormat="false" ht="23.85" hidden="false" customHeight="false" outlineLevel="0" collapsed="false">
      <c r="A14" s="11" t="s">
        <v>67</v>
      </c>
      <c r="B14" s="11" t="s">
        <v>30</v>
      </c>
      <c r="C14" s="11" t="s">
        <v>68</v>
      </c>
      <c r="D14" s="11" t="s">
        <v>32</v>
      </c>
      <c r="E14" s="11" t="s">
        <v>69</v>
      </c>
      <c r="F14" s="11" t="s">
        <v>35</v>
      </c>
      <c r="G14" s="11" t="s">
        <v>36</v>
      </c>
      <c r="H14" s="11" t="s">
        <v>70</v>
      </c>
      <c r="I14" s="11" t="s">
        <v>71</v>
      </c>
      <c r="J14" s="11" t="s">
        <v>72</v>
      </c>
      <c r="K14" s="11" t="s">
        <v>73</v>
      </c>
      <c r="L14" s="11" t="s">
        <v>74</v>
      </c>
      <c r="M14" s="11" t="s">
        <v>75</v>
      </c>
      <c r="N14" s="11" t="s">
        <v>76</v>
      </c>
      <c r="O14" s="11" t="s">
        <v>38</v>
      </c>
    </row>
    <row r="15" customFormat="false" ht="15" hidden="false" customHeight="false" outlineLevel="0" collapsed="false">
      <c r="A15" s="12" t="s">
        <v>77</v>
      </c>
      <c r="B15" s="22" t="n">
        <f aca="false">'Raw Data'!D17</f>
        <v>4885</v>
      </c>
      <c r="C15" s="22" t="n">
        <f aca="false">'Raw Data'!E17</f>
        <v>1275</v>
      </c>
      <c r="D15" s="22" t="n">
        <f aca="false">'Raw Data'!F17</f>
        <v>648</v>
      </c>
      <c r="E15" s="22" t="n">
        <f aca="false">'Raw Data'!G17+'Raw Data'!H17</f>
        <v>1899</v>
      </c>
      <c r="F15" s="22" t="n">
        <f aca="false">'Raw Data'!I17</f>
        <v>2566</v>
      </c>
      <c r="G15" s="22" t="n">
        <f aca="false">'Raw Data'!J17</f>
        <v>5362</v>
      </c>
      <c r="H15" s="22" t="n">
        <f aca="false">'Raw Data'!K17</f>
        <v>2830</v>
      </c>
      <c r="I15" s="23" t="n">
        <f aca="false">F15/E15</f>
        <v>1.35123749341759</v>
      </c>
      <c r="J15" s="24" t="n">
        <f aca="false">D15/E15</f>
        <v>0.341232227488152</v>
      </c>
      <c r="K15" s="24" t="n">
        <f aca="false">D15/G15</f>
        <v>0.120850428944424</v>
      </c>
      <c r="L15" s="25" t="n">
        <f aca="false">LN(G15)</f>
        <v>8.58709231879591</v>
      </c>
      <c r="M15" s="24" t="n">
        <f aca="false">(B15-'Raw Data'!D16)/'Raw Data'!D16</f>
        <v>0.112756264236902</v>
      </c>
      <c r="N15" s="24" t="n">
        <f aca="false">H15/G15</f>
        <v>0.527788138754196</v>
      </c>
      <c r="O15" s="23" t="n">
        <f aca="false">'Raw Data'!L17</f>
        <v>6.45</v>
      </c>
    </row>
    <row r="16" customFormat="false" ht="15" hidden="false" customHeight="false" outlineLevel="0" collapsed="false">
      <c r="A16" s="15" t="s">
        <v>78</v>
      </c>
      <c r="B16" s="26" t="n">
        <f aca="false">'Raw Data'!D18</f>
        <v>5639</v>
      </c>
      <c r="C16" s="26" t="n">
        <f aca="false">'Raw Data'!E18</f>
        <v>1370</v>
      </c>
      <c r="D16" s="26" t="n">
        <f aca="false">'Raw Data'!F18</f>
        <v>307</v>
      </c>
      <c r="E16" s="26" t="n">
        <f aca="false">'Raw Data'!G18+'Raw Data'!H18</f>
        <v>2201</v>
      </c>
      <c r="F16" s="26" t="n">
        <f aca="false">'Raw Data'!I18</f>
        <v>2738</v>
      </c>
      <c r="G16" s="26" t="n">
        <f aca="false">'Raw Data'!J18</f>
        <v>6248</v>
      </c>
      <c r="H16" s="26" t="n">
        <f aca="false">'Raw Data'!K18</f>
        <v>3057</v>
      </c>
      <c r="I16" s="27" t="n">
        <f aca="false">F16/E16</f>
        <v>1.24398000908678</v>
      </c>
      <c r="J16" s="28" t="n">
        <f aca="false">D16/E16</f>
        <v>0.139482053611995</v>
      </c>
      <c r="K16" s="28" t="n">
        <f aca="false">D16/G16</f>
        <v>0.0491357234314981</v>
      </c>
      <c r="L16" s="29" t="n">
        <f aca="false">LN(G16)</f>
        <v>8.74001669151952</v>
      </c>
      <c r="M16" s="28" t="n">
        <f aca="false">(B16-'Raw Data'!D17)/'Raw Data'!D17</f>
        <v>0.154350051177073</v>
      </c>
      <c r="N16" s="28" t="n">
        <f aca="false">H16/G16</f>
        <v>0.489276568501921</v>
      </c>
      <c r="O16" s="27" t="n">
        <f aca="false">'Raw Data'!L18</f>
        <v>3.05</v>
      </c>
    </row>
    <row r="17" customFormat="false" ht="15" hidden="false" customHeight="false" outlineLevel="0" collapsed="false">
      <c r="A17" s="12" t="s">
        <v>79</v>
      </c>
      <c r="B17" s="22" t="n">
        <f aca="false">'Raw Data'!D19</f>
        <v>4977</v>
      </c>
      <c r="C17" s="22" t="n">
        <f aca="false">'Raw Data'!E19</f>
        <v>894</v>
      </c>
      <c r="D17" s="22" t="n">
        <f aca="false">'Raw Data'!F19</f>
        <v>304</v>
      </c>
      <c r="E17" s="22" t="n">
        <f aca="false">'Raw Data'!G19+'Raw Data'!H19</f>
        <v>2429</v>
      </c>
      <c r="F17" s="22" t="n">
        <f aca="false">'Raw Data'!I19</f>
        <v>2721</v>
      </c>
      <c r="G17" s="22" t="n">
        <f aca="false">'Raw Data'!J19</f>
        <v>6248</v>
      </c>
      <c r="H17" s="22" t="n">
        <f aca="false">'Raw Data'!K19</f>
        <v>2846</v>
      </c>
      <c r="I17" s="23" t="n">
        <f aca="false">F17/E17</f>
        <v>1.12021407986826</v>
      </c>
      <c r="J17" s="24" t="n">
        <f aca="false">D17/E17</f>
        <v>0.125154384520379</v>
      </c>
      <c r="K17" s="24" t="n">
        <f aca="false">D17/G17</f>
        <v>0.0486555697823304</v>
      </c>
      <c r="L17" s="25" t="n">
        <f aca="false">LN(G17)</f>
        <v>8.74001669151952</v>
      </c>
      <c r="M17" s="24" t="n">
        <f aca="false">(B17-'Raw Data'!D18)/'Raw Data'!D18</f>
        <v>-0.117396701542827</v>
      </c>
      <c r="N17" s="24" t="n">
        <f aca="false">H17/G17</f>
        <v>0.45550576184379</v>
      </c>
      <c r="O17" s="23" t="n">
        <f aca="false">'Raw Data'!L19</f>
        <v>3.03</v>
      </c>
    </row>
    <row r="18" customFormat="false" ht="15" hidden="false" customHeight="false" outlineLevel="0" collapsed="false">
      <c r="A18" s="15" t="s">
        <v>80</v>
      </c>
      <c r="B18" s="26" t="n">
        <f aca="false">'Raw Data'!D20</f>
        <v>5395</v>
      </c>
      <c r="C18" s="26" t="n">
        <f aca="false">'Raw Data'!E20</f>
        <v>795</v>
      </c>
      <c r="D18" s="26" t="n">
        <f aca="false">'Raw Data'!F20</f>
        <v>142</v>
      </c>
      <c r="E18" s="26" t="n">
        <f aca="false">'Raw Data'!G20+'Raw Data'!H20</f>
        <v>2489</v>
      </c>
      <c r="F18" s="26" t="n">
        <f aca="false">'Raw Data'!I20</f>
        <v>2510</v>
      </c>
      <c r="G18" s="26" t="n">
        <f aca="false">'Raw Data'!J20</f>
        <v>6264</v>
      </c>
      <c r="H18" s="26" t="n">
        <f aca="false">'Raw Data'!K20</f>
        <v>2654</v>
      </c>
      <c r="I18" s="27" t="n">
        <f aca="false">F18/E18</f>
        <v>1.00843712334271</v>
      </c>
      <c r="J18" s="28" t="n">
        <f aca="false">D18/E18</f>
        <v>0.0570510245078345</v>
      </c>
      <c r="K18" s="28" t="n">
        <f aca="false">D18/G18</f>
        <v>0.022669220945083</v>
      </c>
      <c r="L18" s="29" t="n">
        <f aca="false">LN(G18)</f>
        <v>8.74257423767064</v>
      </c>
      <c r="M18" s="28" t="n">
        <f aca="false">(B18-'Raw Data'!D19)/'Raw Data'!D19</f>
        <v>0.0839863371508941</v>
      </c>
      <c r="N18" s="28" t="n">
        <f aca="false">H18/G18</f>
        <v>0.423690932311622</v>
      </c>
      <c r="O18" s="27" t="n">
        <f aca="false">'Raw Data'!L20</f>
        <v>1.41</v>
      </c>
    </row>
    <row r="19" customFormat="false" ht="15" hidden="false" customHeight="false" outlineLevel="0" collapsed="false">
      <c r="A19" s="12" t="s">
        <v>81</v>
      </c>
      <c r="B19" s="22" t="n">
        <f aca="false">'Raw Data'!D21</f>
        <v>5324</v>
      </c>
      <c r="C19" s="22" t="n">
        <f aca="false">'Raw Data'!E21</f>
        <v>1009</v>
      </c>
      <c r="D19" s="22" t="n">
        <f aca="false">'Raw Data'!F21</f>
        <v>475</v>
      </c>
      <c r="E19" s="22" t="n">
        <f aca="false">'Raw Data'!G21+'Raw Data'!H21</f>
        <v>2807</v>
      </c>
      <c r="F19" s="22" t="n">
        <f aca="false">'Raw Data'!I21</f>
        <v>2275</v>
      </c>
      <c r="G19" s="22" t="n">
        <f aca="false">'Raw Data'!J21</f>
        <v>6221</v>
      </c>
      <c r="H19" s="22" t="n">
        <f aca="false">'Raw Data'!K21</f>
        <v>2385</v>
      </c>
      <c r="I19" s="23" t="n">
        <f aca="false">F19/E19</f>
        <v>0.810473815461347</v>
      </c>
      <c r="J19" s="24" t="n">
        <f aca="false">D19/E19</f>
        <v>0.169219807623798</v>
      </c>
      <c r="K19" s="24" t="n">
        <f aca="false">D19/G19</f>
        <v>0.0763542838771902</v>
      </c>
      <c r="L19" s="25" t="n">
        <f aca="false">LN(G19)</f>
        <v>8.73568594451502</v>
      </c>
      <c r="M19" s="24" t="n">
        <f aca="false">(B19-'Raw Data'!D20)/'Raw Data'!D20</f>
        <v>-0.0131603336422614</v>
      </c>
      <c r="N19" s="24" t="n">
        <f aca="false">H19/G19</f>
        <v>0.383378877993892</v>
      </c>
      <c r="O19" s="23" t="n">
        <f aca="false">'Raw Data'!L21</f>
        <v>4.73</v>
      </c>
    </row>
    <row r="20" customFormat="false" ht="15" hidden="false" customHeight="false" outlineLevel="0" collapsed="false">
      <c r="A20" s="15" t="s">
        <v>82</v>
      </c>
      <c r="B20" s="26" t="n">
        <f aca="false">'Raw Data'!D22</f>
        <v>5956</v>
      </c>
      <c r="C20" s="26" t="n">
        <f aca="false">'Raw Data'!E22</f>
        <v>1084</v>
      </c>
      <c r="D20" s="26" t="n">
        <f aca="false">'Raw Data'!F22</f>
        <v>527</v>
      </c>
      <c r="E20" s="26" t="n">
        <f aca="false">'Raw Data'!G22+'Raw Data'!H22</f>
        <v>3338</v>
      </c>
      <c r="F20" s="26" t="n">
        <f aca="false">'Raw Data'!I22</f>
        <v>1409</v>
      </c>
      <c r="G20" s="26" t="n">
        <f aca="false">'Raw Data'!J22</f>
        <v>6098</v>
      </c>
      <c r="H20" s="26" t="n">
        <f aca="false">'Raw Data'!K22</f>
        <v>2158</v>
      </c>
      <c r="I20" s="27" t="n">
        <f aca="false">F20/E20</f>
        <v>0.422109047333733</v>
      </c>
      <c r="J20" s="28" t="n">
        <f aca="false">D20/E20</f>
        <v>0.15787896944278</v>
      </c>
      <c r="K20" s="28" t="n">
        <f aca="false">D20/G20</f>
        <v>0.0864217776320105</v>
      </c>
      <c r="L20" s="29" t="n">
        <f aca="false">LN(G20)</f>
        <v>8.7157161275482</v>
      </c>
      <c r="M20" s="28" t="n">
        <f aca="false">(B20-'Raw Data'!D21)/'Raw Data'!D21</f>
        <v>0.118707738542449</v>
      </c>
      <c r="N20" s="28" t="n">
        <f aca="false">H20/G20</f>
        <v>0.353886520170548</v>
      </c>
      <c r="O20" s="27" t="n">
        <f aca="false">'Raw Data'!L22</f>
        <v>5.24</v>
      </c>
    </row>
    <row r="21" customFormat="false" ht="15" hidden="false" customHeight="false" outlineLevel="0" collapsed="false">
      <c r="A21" s="12" t="s">
        <v>83</v>
      </c>
      <c r="B21" s="22" t="n">
        <f aca="false">'Raw Data'!D23</f>
        <v>6703</v>
      </c>
      <c r="C21" s="22" t="n">
        <f aca="false">'Raw Data'!E23</f>
        <v>893</v>
      </c>
      <c r="D21" s="22" t="n">
        <f aca="false">'Raw Data'!F23</f>
        <v>392</v>
      </c>
      <c r="E21" s="22" t="n">
        <f aca="false">'Raw Data'!G23+'Raw Data'!H23</f>
        <v>3475</v>
      </c>
      <c r="F21" s="22" t="n">
        <f aca="false">'Raw Data'!I23</f>
        <v>1318</v>
      </c>
      <c r="G21" s="22" t="n">
        <f aca="false">'Raw Data'!J23</f>
        <v>6191</v>
      </c>
      <c r="H21" s="22" t="n">
        <f aca="false">'Raw Data'!K23</f>
        <v>2025</v>
      </c>
      <c r="I21" s="23" t="n">
        <f aca="false">F21/E21</f>
        <v>0.379280575539568</v>
      </c>
      <c r="J21" s="24" t="n">
        <f aca="false">D21/E21</f>
        <v>0.112805755395683</v>
      </c>
      <c r="K21" s="24" t="n">
        <f aca="false">D21/G21</f>
        <v>0.0633177192699079</v>
      </c>
      <c r="L21" s="25" t="n">
        <f aca="false">LN(G21)</f>
        <v>8.73085190351923</v>
      </c>
      <c r="M21" s="24" t="n">
        <f aca="false">(B21-'Raw Data'!D22)/'Raw Data'!D22</f>
        <v>0.125419744795165</v>
      </c>
      <c r="N21" s="24" t="n">
        <f aca="false">H21/G21</f>
        <v>0.327087707963172</v>
      </c>
      <c r="O21" s="23" t="n">
        <f aca="false">'Raw Data'!L23</f>
        <v>3.9</v>
      </c>
    </row>
    <row r="22" customFormat="false" ht="15" hidden="false" customHeight="false" outlineLevel="0" collapsed="false">
      <c r="A22" s="15" t="s">
        <v>84</v>
      </c>
      <c r="B22" s="26" t="n">
        <f aca="false">'Raw Data'!D24</f>
        <v>6298</v>
      </c>
      <c r="C22" s="26" t="n">
        <f aca="false">'Raw Data'!E24</f>
        <v>456</v>
      </c>
      <c r="D22" s="26" t="n">
        <f aca="false">'Raw Data'!F24</f>
        <v>123</v>
      </c>
      <c r="E22" s="26" t="n">
        <f aca="false">'Raw Data'!G24+'Raw Data'!H24</f>
        <v>3408</v>
      </c>
      <c r="F22" s="26" t="n">
        <f aca="false">'Raw Data'!I24</f>
        <v>1767</v>
      </c>
      <c r="G22" s="26" t="n">
        <f aca="false">'Raw Data'!J24</f>
        <v>6880</v>
      </c>
      <c r="H22" s="26" t="n">
        <f aca="false">'Raw Data'!K24</f>
        <v>2938</v>
      </c>
      <c r="I22" s="27" t="n">
        <f aca="false">F22/E22</f>
        <v>0.518485915492958</v>
      </c>
      <c r="J22" s="28" t="n">
        <f aca="false">D22/E22</f>
        <v>0.0360915492957747</v>
      </c>
      <c r="K22" s="28" t="n">
        <f aca="false">D22/G22</f>
        <v>0.0178779069767442</v>
      </c>
      <c r="L22" s="29" t="n">
        <f aca="false">LN(G22)</f>
        <v>8.83637393092739</v>
      </c>
      <c r="M22" s="28" t="n">
        <f aca="false">(B22-'Raw Data'!D23)/'Raw Data'!D23</f>
        <v>-0.060420707146054</v>
      </c>
      <c r="N22" s="28" t="n">
        <f aca="false">H22/G22</f>
        <v>0.42703488372093</v>
      </c>
      <c r="O22" s="27" t="n">
        <f aca="false">'Raw Data'!L24</f>
        <v>1.22</v>
      </c>
    </row>
    <row r="23" customFormat="false" ht="15" hidden="false" customHeight="false" outlineLevel="0" collapsed="false">
      <c r="A23" s="12" t="s">
        <v>85</v>
      </c>
      <c r="B23" s="22" t="n">
        <f aca="false">'Raw Data'!D25</f>
        <v>8085</v>
      </c>
      <c r="C23" s="22" t="n">
        <f aca="false">'Raw Data'!E25</f>
        <v>1012</v>
      </c>
      <c r="D23" s="22" t="n">
        <f aca="false">'Raw Data'!F25</f>
        <v>596</v>
      </c>
      <c r="E23" s="22" t="n">
        <f aca="false">'Raw Data'!G25+'Raw Data'!H25</f>
        <v>3741</v>
      </c>
      <c r="F23" s="22" t="n">
        <f aca="false">'Raw Data'!I25</f>
        <v>1965</v>
      </c>
      <c r="G23" s="22" t="n">
        <f aca="false">'Raw Data'!J25</f>
        <v>7515</v>
      </c>
      <c r="H23" s="22" t="n">
        <f aca="false">'Raw Data'!K25</f>
        <v>2879</v>
      </c>
      <c r="I23" s="23" t="n">
        <f aca="false">F23/E23</f>
        <v>0.525260625501203</v>
      </c>
      <c r="J23" s="24" t="n">
        <f aca="false">D23/E23</f>
        <v>0.159315690991713</v>
      </c>
      <c r="K23" s="24" t="n">
        <f aca="false">D23/G23</f>
        <v>0.0793080505655356</v>
      </c>
      <c r="L23" s="25" t="n">
        <f aca="false">LN(G23)</f>
        <v>8.92465630218707</v>
      </c>
      <c r="M23" s="24" t="n">
        <f aca="false">(B23-'Raw Data'!D24)/'Raw Data'!D24</f>
        <v>0.283740870117498</v>
      </c>
      <c r="N23" s="24" t="n">
        <f aca="false">H23/G23</f>
        <v>0.383100465735196</v>
      </c>
      <c r="O23" s="23" t="n">
        <f aca="false">'Raw Data'!L25</f>
        <v>6.13</v>
      </c>
    </row>
    <row r="24" customFormat="false" ht="15" hidden="false" customHeight="false" outlineLevel="0" collapsed="false">
      <c r="A24" s="15" t="s">
        <v>86</v>
      </c>
      <c r="B24" s="26" t="n">
        <f aca="false">'Raw Data'!D26</f>
        <v>8622</v>
      </c>
      <c r="C24" s="26" t="n">
        <f aca="false">'Raw Data'!E26</f>
        <v>907</v>
      </c>
      <c r="D24" s="26" t="n">
        <f aca="false">'Raw Data'!F26</f>
        <v>507</v>
      </c>
      <c r="E24" s="26" t="n">
        <f aca="false">'Raw Data'!G26+'Raw Data'!H26</f>
        <v>3905</v>
      </c>
      <c r="F24" s="26" t="n">
        <f aca="false">'Raw Data'!I26</f>
        <v>1678</v>
      </c>
      <c r="G24" s="26" t="n">
        <f aca="false">'Raw Data'!J26</f>
        <v>7508</v>
      </c>
      <c r="H24" s="26" t="n">
        <f aca="false">'Raw Data'!K26</f>
        <v>2933</v>
      </c>
      <c r="I24" s="27" t="n">
        <f aca="false">F24/E24</f>
        <v>0.429705505761844</v>
      </c>
      <c r="J24" s="28" t="n">
        <f aca="false">D24/E24</f>
        <v>0.129833546734955</v>
      </c>
      <c r="K24" s="28" t="n">
        <f aca="false">D24/G24</f>
        <v>0.0675279701651572</v>
      </c>
      <c r="L24" s="29" t="n">
        <f aca="false">LN(G24)</f>
        <v>8.9237243977064</v>
      </c>
      <c r="M24" s="28" t="n">
        <f aca="false">(B24-'Raw Data'!D25)/'Raw Data'!D25</f>
        <v>0.0664192949907236</v>
      </c>
      <c r="N24" s="28" t="n">
        <f aca="false">H24/G24</f>
        <v>0.390649973361747</v>
      </c>
      <c r="O24" s="27" t="n">
        <f aca="false">'Raw Data'!L26</f>
        <v>5.28</v>
      </c>
    </row>
    <row r="25" customFormat="false" ht="15" hidden="false" customHeight="false" outlineLevel="0" collapsed="false">
      <c r="A25" s="30" t="s">
        <v>87</v>
      </c>
      <c r="B25" s="31" t="n">
        <f aca="false">AVERAGE(B15:B24)</f>
        <v>6188.4</v>
      </c>
      <c r="C25" s="31" t="n">
        <f aca="false">AVERAGE(C15:C24)</f>
        <v>969.5</v>
      </c>
      <c r="D25" s="31" t="n">
        <f aca="false">AVERAGE(D15:D24)</f>
        <v>402.1</v>
      </c>
      <c r="E25" s="31" t="n">
        <f aca="false">AVERAGE(E15:E24)</f>
        <v>2969.2</v>
      </c>
      <c r="F25" s="31" t="n">
        <f aca="false">AVERAGE(F15:F24)</f>
        <v>2094.7</v>
      </c>
      <c r="G25" s="31" t="n">
        <f aca="false">AVERAGE(G15:G24)</f>
        <v>6453.5</v>
      </c>
      <c r="H25" s="31" t="n">
        <f aca="false">AVERAGE(H15:H24)</f>
        <v>2670.5</v>
      </c>
      <c r="I25" s="32" t="n">
        <f aca="false">AVERAGE(I15:I24)</f>
        <v>0.780918419080599</v>
      </c>
      <c r="J25" s="33" t="n">
        <f aca="false">AVERAGE(J15:J24)</f>
        <v>0.142806500961306</v>
      </c>
      <c r="K25" s="33" t="n">
        <f aca="false">AVERAGE(K15:K24)</f>
        <v>0.0632118651589881</v>
      </c>
      <c r="L25" s="34" t="n">
        <f aca="false">AVERAGE(L15:L24)</f>
        <v>8.76767085459089</v>
      </c>
      <c r="M25" s="33" t="n">
        <f aca="false">AVERAGE(M15:M24)</f>
        <v>0.0754402558679562</v>
      </c>
      <c r="N25" s="33" t="n">
        <f aca="false">AVERAGE(N15:N24)</f>
        <v>0.416139983035701</v>
      </c>
      <c r="O25" s="32" t="n">
        <f aca="false">AVERAGE(O15:O24)</f>
        <v>4.044</v>
      </c>
    </row>
    <row r="27" customFormat="false" ht="15" hidden="false" customHeight="false" outlineLevel="0" collapsed="false">
      <c r="A27" s="35" t="s">
        <v>88</v>
      </c>
      <c r="I27" s="36" t="n">
        <f aca="false">STDEV(I15:I24)</f>
        <v>0.373435859407386</v>
      </c>
      <c r="J27" s="37" t="n">
        <f aca="false">STDEV(J15:J24)</f>
        <v>0.0821267573596867</v>
      </c>
      <c r="K27" s="37" t="n">
        <f aca="false">STDEV(K15:K24)</f>
        <v>0.0305873097497172</v>
      </c>
      <c r="O27" s="36" t="n">
        <f aca="false">STDEV(O15:O24)</f>
        <v>1.84146197957553</v>
      </c>
    </row>
  </sheetData>
  <mergeCells count="10">
    <mergeCell ref="A1:P1"/>
    <mergeCell ref="B3:F3"/>
    <mergeCell ref="B4:F4"/>
    <mergeCell ref="B5:F5"/>
    <mergeCell ref="B6:F6"/>
    <mergeCell ref="B7:F7"/>
    <mergeCell ref="B8:F8"/>
    <mergeCell ref="B9:F9"/>
    <mergeCell ref="B10:F10"/>
    <mergeCell ref="B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P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
    <col collapsed="false" customWidth="true" hidden="false" outlineLevel="0" max="3" min="3" style="0" width="10"/>
    <col collapsed="false" customWidth="true" hidden="false" outlineLevel="0" max="4" min="4" style="0" width="11"/>
    <col collapsed="false" customWidth="true" hidden="false" outlineLevel="0" max="5" min="5" style="0" width="12"/>
    <col collapsed="false" customWidth="true" hidden="false" outlineLevel="0" max="6" min="6" style="0" width="11"/>
    <col collapsed="false" customWidth="true" hidden="false" outlineLevel="0" max="7" min="7" style="0" width="12"/>
    <col collapsed="false" customWidth="true" hidden="false" outlineLevel="0" max="8" min="8" style="0" width="11"/>
    <col collapsed="false" customWidth="true" hidden="false" outlineLevel="0" max="11" min="9" style="0" width="9"/>
    <col collapsed="false" customWidth="true" hidden="false" outlineLevel="0" max="12" min="12" style="0" width="11"/>
    <col collapsed="false" customWidth="true" hidden="false" outlineLevel="0" max="13" min="13" style="0" width="12"/>
    <col collapsed="false" customWidth="true" hidden="false" outlineLevel="0" max="14" min="14" style="0" width="11"/>
    <col collapsed="false" customWidth="true" hidden="false" outlineLevel="0" max="15" min="15" style="0" width="10"/>
  </cols>
  <sheetData>
    <row r="1" customFormat="false" ht="30" hidden="false" customHeight="true" outlineLevel="0" collapsed="false">
      <c r="A1" s="18" t="s">
        <v>42</v>
      </c>
      <c r="B1" s="18"/>
      <c r="C1" s="18"/>
      <c r="D1" s="18"/>
      <c r="E1" s="18"/>
      <c r="F1" s="18"/>
      <c r="G1" s="18"/>
      <c r="H1" s="18"/>
      <c r="I1" s="18"/>
      <c r="J1" s="18"/>
      <c r="K1" s="18"/>
      <c r="L1" s="18"/>
      <c r="M1" s="18"/>
      <c r="N1" s="18"/>
      <c r="O1" s="18"/>
      <c r="P1" s="18"/>
    </row>
    <row r="3" customFormat="false" ht="18" hidden="false" customHeight="true" outlineLevel="0" collapsed="false">
      <c r="A3" s="19" t="s">
        <v>50</v>
      </c>
      <c r="B3" s="20" t="s">
        <v>96</v>
      </c>
      <c r="C3" s="20"/>
      <c r="D3" s="20"/>
      <c r="E3" s="20"/>
      <c r="F3" s="20"/>
    </row>
    <row r="4" customFormat="false" ht="18" hidden="false" customHeight="true" outlineLevel="0" collapsed="false">
      <c r="A4" s="19" t="s">
        <v>28</v>
      </c>
      <c r="B4" s="20" t="s">
        <v>40</v>
      </c>
      <c r="C4" s="20"/>
      <c r="D4" s="20"/>
      <c r="E4" s="20"/>
      <c r="F4" s="20"/>
    </row>
    <row r="5" customFormat="false" ht="18" hidden="false" customHeight="true" outlineLevel="0" collapsed="false">
      <c r="A5" s="19" t="s">
        <v>52</v>
      </c>
      <c r="B5" s="20" t="s">
        <v>97</v>
      </c>
      <c r="C5" s="20"/>
      <c r="D5" s="20"/>
      <c r="E5" s="20"/>
      <c r="F5" s="20"/>
    </row>
    <row r="6" customFormat="false" ht="18" hidden="false" customHeight="true" outlineLevel="0" collapsed="false">
      <c r="A6" s="19" t="s">
        <v>54</v>
      </c>
      <c r="B6" s="20" t="s">
        <v>98</v>
      </c>
      <c r="C6" s="20"/>
      <c r="D6" s="20"/>
      <c r="E6" s="20"/>
      <c r="F6" s="20"/>
    </row>
    <row r="7" customFormat="false" ht="18" hidden="false" customHeight="true" outlineLevel="0" collapsed="false">
      <c r="A7" s="19" t="s">
        <v>56</v>
      </c>
      <c r="B7" s="20" t="s">
        <v>92</v>
      </c>
      <c r="C7" s="20"/>
      <c r="D7" s="20"/>
      <c r="E7" s="20"/>
      <c r="F7" s="20"/>
    </row>
    <row r="8" customFormat="false" ht="18" hidden="false" customHeight="true" outlineLevel="0" collapsed="false">
      <c r="A8" s="19" t="s">
        <v>58</v>
      </c>
      <c r="B8" s="20" t="s">
        <v>99</v>
      </c>
      <c r="C8" s="20"/>
      <c r="D8" s="20"/>
      <c r="E8" s="20"/>
      <c r="F8" s="20"/>
    </row>
    <row r="9" customFormat="false" ht="18" hidden="false" customHeight="true" outlineLevel="0" collapsed="false">
      <c r="A9" s="19" t="s">
        <v>60</v>
      </c>
      <c r="B9" s="20" t="s">
        <v>100</v>
      </c>
      <c r="C9" s="20"/>
      <c r="D9" s="20"/>
      <c r="E9" s="20"/>
      <c r="F9" s="20"/>
    </row>
    <row r="10" customFormat="false" ht="18" hidden="false" customHeight="true" outlineLevel="0" collapsed="false">
      <c r="A10" s="19" t="s">
        <v>62</v>
      </c>
      <c r="B10" s="20" t="s">
        <v>101</v>
      </c>
      <c r="C10" s="20"/>
      <c r="D10" s="20"/>
      <c r="E10" s="20"/>
      <c r="F10" s="20"/>
    </row>
    <row r="11" customFormat="false" ht="18" hidden="false" customHeight="true" outlineLevel="0" collapsed="false">
      <c r="A11" s="19" t="s">
        <v>64</v>
      </c>
      <c r="B11" s="20" t="s">
        <v>65</v>
      </c>
      <c r="C11" s="20"/>
      <c r="D11" s="20"/>
      <c r="E11" s="20"/>
      <c r="F11" s="20"/>
    </row>
    <row r="13" customFormat="false" ht="15" hidden="false" customHeight="false" outlineLevel="0" collapsed="false">
      <c r="A13" s="21" t="s">
        <v>66</v>
      </c>
    </row>
    <row r="14" customFormat="false" ht="23.85" hidden="false" customHeight="false" outlineLevel="0" collapsed="false">
      <c r="A14" s="11" t="s">
        <v>67</v>
      </c>
      <c r="B14" s="11" t="s">
        <v>30</v>
      </c>
      <c r="C14" s="11" t="s">
        <v>68</v>
      </c>
      <c r="D14" s="11" t="s">
        <v>32</v>
      </c>
      <c r="E14" s="11" t="s">
        <v>69</v>
      </c>
      <c r="F14" s="11" t="s">
        <v>35</v>
      </c>
      <c r="G14" s="11" t="s">
        <v>36</v>
      </c>
      <c r="H14" s="11" t="s">
        <v>70</v>
      </c>
      <c r="I14" s="11" t="s">
        <v>71</v>
      </c>
      <c r="J14" s="11" t="s">
        <v>72</v>
      </c>
      <c r="K14" s="11" t="s">
        <v>73</v>
      </c>
      <c r="L14" s="11" t="s">
        <v>74</v>
      </c>
      <c r="M14" s="11" t="s">
        <v>75</v>
      </c>
      <c r="N14" s="11" t="s">
        <v>76</v>
      </c>
      <c r="O14" s="11" t="s">
        <v>38</v>
      </c>
    </row>
    <row r="15" customFormat="false" ht="15" hidden="false" customHeight="false" outlineLevel="0" collapsed="false">
      <c r="A15" s="12" t="s">
        <v>77</v>
      </c>
      <c r="B15" s="22" t="n">
        <f aca="false">'Raw Data'!D28</f>
        <v>2001</v>
      </c>
      <c r="C15" s="22" t="n">
        <f aca="false">'Raw Data'!E28</f>
        <v>396</v>
      </c>
      <c r="D15" s="22" t="n">
        <f aca="false">'Raw Data'!F28</f>
        <v>238</v>
      </c>
      <c r="E15" s="22" t="n">
        <f aca="false">'Raw Data'!G28+'Raw Data'!H28</f>
        <v>613</v>
      </c>
      <c r="F15" s="22" t="n">
        <f aca="false">'Raw Data'!I28</f>
        <v>340</v>
      </c>
      <c r="G15" s="22" t="n">
        <f aca="false">'Raw Data'!J28</f>
        <v>1283</v>
      </c>
      <c r="H15" s="22" t="n">
        <f aca="false">'Raw Data'!K28</f>
        <v>466</v>
      </c>
      <c r="I15" s="23" t="n">
        <f aca="false">F15/E15</f>
        <v>0.554649265905383</v>
      </c>
      <c r="J15" s="24" t="n">
        <f aca="false">D15/E15</f>
        <v>0.388254486133768</v>
      </c>
      <c r="K15" s="24" t="n">
        <f aca="false">D15/G15</f>
        <v>0.185502727981294</v>
      </c>
      <c r="L15" s="25" t="n">
        <f aca="false">LN(G15)</f>
        <v>7.15695636461564</v>
      </c>
      <c r="M15" s="24" t="n">
        <f aca="false">(B15-'Raw Data'!D27)/'Raw Data'!D27</f>
        <v>0.238242574257426</v>
      </c>
      <c r="N15" s="24" t="n">
        <f aca="false">H15/G15</f>
        <v>0.363211223694466</v>
      </c>
      <c r="O15" s="23" t="n">
        <f aca="false">'Raw Data'!L28</f>
        <v>12.04</v>
      </c>
    </row>
    <row r="16" customFormat="false" ht="15" hidden="false" customHeight="false" outlineLevel="0" collapsed="false">
      <c r="A16" s="15" t="s">
        <v>78</v>
      </c>
      <c r="B16" s="26" t="n">
        <f aca="false">'Raw Data'!D29</f>
        <v>1990</v>
      </c>
      <c r="C16" s="26" t="n">
        <f aca="false">'Raw Data'!E29</f>
        <v>325</v>
      </c>
      <c r="D16" s="26" t="n">
        <f aca="false">'Raw Data'!F29</f>
        <v>228</v>
      </c>
      <c r="E16" s="26" t="n">
        <f aca="false">'Raw Data'!G29+'Raw Data'!H29</f>
        <v>826</v>
      </c>
      <c r="F16" s="26" t="n">
        <f aca="false">'Raw Data'!I29</f>
        <v>267</v>
      </c>
      <c r="G16" s="26" t="n">
        <f aca="false">'Raw Data'!J29</f>
        <v>1440</v>
      </c>
      <c r="H16" s="26" t="n">
        <f aca="false">'Raw Data'!K29</f>
        <v>511</v>
      </c>
      <c r="I16" s="27" t="n">
        <f aca="false">F16/E16</f>
        <v>0.323244552058111</v>
      </c>
      <c r="J16" s="28" t="n">
        <f aca="false">D16/E16</f>
        <v>0.276029055690073</v>
      </c>
      <c r="K16" s="28" t="n">
        <f aca="false">D16/G16</f>
        <v>0.158333333333333</v>
      </c>
      <c r="L16" s="29" t="n">
        <f aca="false">LN(G16)</f>
        <v>7.27239839257005</v>
      </c>
      <c r="M16" s="28" t="n">
        <f aca="false">(B16-'Raw Data'!D28)/'Raw Data'!D28</f>
        <v>-0.00549725137431284</v>
      </c>
      <c r="N16" s="28" t="n">
        <f aca="false">H16/G16</f>
        <v>0.354861111111111</v>
      </c>
      <c r="O16" s="27" t="n">
        <f aca="false">'Raw Data'!L29</f>
        <v>11.55</v>
      </c>
    </row>
    <row r="17" customFormat="false" ht="15" hidden="false" customHeight="false" outlineLevel="0" collapsed="false">
      <c r="A17" s="12" t="s">
        <v>79</v>
      </c>
      <c r="B17" s="22" t="n">
        <f aca="false">'Raw Data'!D30</f>
        <v>1709</v>
      </c>
      <c r="C17" s="22" t="n">
        <f aca="false">'Raw Data'!E30</f>
        <v>167</v>
      </c>
      <c r="D17" s="22" t="n">
        <f aca="false">'Raw Data'!F30</f>
        <v>131</v>
      </c>
      <c r="E17" s="22" t="n">
        <f aca="false">'Raw Data'!G30+'Raw Data'!H30</f>
        <v>938</v>
      </c>
      <c r="F17" s="22" t="n">
        <f aca="false">'Raw Data'!I30</f>
        <v>371</v>
      </c>
      <c r="G17" s="22" t="n">
        <f aca="false">'Raw Data'!J30</f>
        <v>1644</v>
      </c>
      <c r="H17" s="22" t="n">
        <f aca="false">'Raw Data'!K30</f>
        <v>535</v>
      </c>
      <c r="I17" s="23" t="n">
        <f aca="false">F17/E17</f>
        <v>0.395522388059701</v>
      </c>
      <c r="J17" s="24" t="n">
        <f aca="false">D17/E17</f>
        <v>0.139658848614073</v>
      </c>
      <c r="K17" s="24" t="n">
        <f aca="false">D17/G17</f>
        <v>0.079683698296837</v>
      </c>
      <c r="L17" s="25" t="n">
        <f aca="false">LN(G17)</f>
        <v>7.40488757561613</v>
      </c>
      <c r="M17" s="24" t="n">
        <f aca="false">(B17-'Raw Data'!D29)/'Raw Data'!D29</f>
        <v>-0.141206030150754</v>
      </c>
      <c r="N17" s="24" t="n">
        <f aca="false">H17/G17</f>
        <v>0.325425790754258</v>
      </c>
      <c r="O17" s="23" t="n">
        <f aca="false">'Raw Data'!L30</f>
        <v>6.64</v>
      </c>
    </row>
    <row r="18" customFormat="false" ht="15" hidden="false" customHeight="false" outlineLevel="0" collapsed="false">
      <c r="A18" s="15" t="s">
        <v>80</v>
      </c>
      <c r="B18" s="26" t="n">
        <f aca="false">'Raw Data'!D31</f>
        <v>1813</v>
      </c>
      <c r="C18" s="26" t="n">
        <f aca="false">'Raw Data'!E31</f>
        <v>151</v>
      </c>
      <c r="D18" s="26" t="n">
        <f aca="false">'Raw Data'!F31</f>
        <v>59</v>
      </c>
      <c r="E18" s="26" t="n">
        <f aca="false">'Raw Data'!G31+'Raw Data'!H31</f>
        <v>960</v>
      </c>
      <c r="F18" s="26" t="n">
        <f aca="false">'Raw Data'!I31</f>
        <v>309</v>
      </c>
      <c r="G18" s="26" t="n">
        <f aca="false">'Raw Data'!J31</f>
        <v>1552</v>
      </c>
      <c r="H18" s="26" t="n">
        <f aca="false">'Raw Data'!K31</f>
        <v>560</v>
      </c>
      <c r="I18" s="27" t="n">
        <f aca="false">F18/E18</f>
        <v>0.321875</v>
      </c>
      <c r="J18" s="28" t="n">
        <f aca="false">D18/E18</f>
        <v>0.0614583333333333</v>
      </c>
      <c r="K18" s="28" t="n">
        <f aca="false">D18/G18</f>
        <v>0.0380154639175258</v>
      </c>
      <c r="L18" s="29" t="n">
        <f aca="false">LN(G18)</f>
        <v>7.34729970074316</v>
      </c>
      <c r="M18" s="28" t="n">
        <f aca="false">(B18-'Raw Data'!D30)/'Raw Data'!D30</f>
        <v>0.0608543007606788</v>
      </c>
      <c r="N18" s="28" t="n">
        <f aca="false">H18/G18</f>
        <v>0.360824742268041</v>
      </c>
      <c r="O18" s="27" t="n">
        <f aca="false">'Raw Data'!L31</f>
        <v>3</v>
      </c>
    </row>
    <row r="19" customFormat="false" ht="15" hidden="false" customHeight="false" outlineLevel="0" collapsed="false">
      <c r="A19" s="12" t="s">
        <v>81</v>
      </c>
      <c r="B19" s="22" t="n">
        <f aca="false">'Raw Data'!D32</f>
        <v>1965</v>
      </c>
      <c r="C19" s="22" t="n">
        <f aca="false">'Raw Data'!E32</f>
        <v>178</v>
      </c>
      <c r="D19" s="22" t="n">
        <f aca="false">'Raw Data'!F32</f>
        <v>74</v>
      </c>
      <c r="E19" s="22" t="n">
        <f aca="false">'Raw Data'!G32+'Raw Data'!H32</f>
        <v>972</v>
      </c>
      <c r="F19" s="22" t="n">
        <f aca="false">'Raw Data'!I32</f>
        <v>348</v>
      </c>
      <c r="G19" s="22" t="n">
        <f aca="false">'Raw Data'!J32</f>
        <v>1659</v>
      </c>
      <c r="H19" s="22" t="n">
        <f aca="false">'Raw Data'!K32</f>
        <v>553</v>
      </c>
      <c r="I19" s="23" t="n">
        <f aca="false">F19/E19</f>
        <v>0.358024691358025</v>
      </c>
      <c r="J19" s="24" t="n">
        <f aca="false">D19/E19</f>
        <v>0.0761316872427984</v>
      </c>
      <c r="K19" s="24" t="n">
        <f aca="false">D19/G19</f>
        <v>0.0446051838456902</v>
      </c>
      <c r="L19" s="25" t="n">
        <f aca="false">LN(G19)</f>
        <v>7.41397029019044</v>
      </c>
      <c r="M19" s="24" t="n">
        <f aca="false">(B19-'Raw Data'!D31)/'Raw Data'!D31</f>
        <v>0.0838389409817981</v>
      </c>
      <c r="N19" s="24" t="n">
        <f aca="false">H19/G19</f>
        <v>0.333333333333333</v>
      </c>
      <c r="O19" s="23" t="n">
        <f aca="false">'Raw Data'!L32</f>
        <v>3.74</v>
      </c>
    </row>
    <row r="20" customFormat="false" ht="15" hidden="false" customHeight="false" outlineLevel="0" collapsed="false">
      <c r="A20" s="15" t="s">
        <v>82</v>
      </c>
      <c r="B20" s="26" t="n">
        <f aca="false">'Raw Data'!D33</f>
        <v>2515</v>
      </c>
      <c r="C20" s="26" t="n">
        <f aca="false">'Raw Data'!E33</f>
        <v>384</v>
      </c>
      <c r="D20" s="26" t="n">
        <f aca="false">'Raw Data'!F33</f>
        <v>260</v>
      </c>
      <c r="E20" s="26" t="n">
        <f aca="false">'Raw Data'!G33+'Raw Data'!H33</f>
        <v>1274</v>
      </c>
      <c r="F20" s="26" t="n">
        <f aca="false">'Raw Data'!I33</f>
        <v>546</v>
      </c>
      <c r="G20" s="26" t="n">
        <f aca="false">'Raw Data'!J33</f>
        <v>2247</v>
      </c>
      <c r="H20" s="26" t="n">
        <f aca="false">'Raw Data'!K33</f>
        <v>543</v>
      </c>
      <c r="I20" s="27" t="n">
        <f aca="false">F20/E20</f>
        <v>0.428571428571429</v>
      </c>
      <c r="J20" s="28" t="n">
        <f aca="false">D20/E20</f>
        <v>0.204081632653061</v>
      </c>
      <c r="K20" s="28" t="n">
        <f aca="false">D20/G20</f>
        <v>0.115709835336004</v>
      </c>
      <c r="L20" s="29" t="n">
        <f aca="false">LN(G20)</f>
        <v>7.71735127218533</v>
      </c>
      <c r="M20" s="28" t="n">
        <f aca="false">(B20-'Raw Data'!D32)/'Raw Data'!D32</f>
        <v>0.279898218829517</v>
      </c>
      <c r="N20" s="28" t="n">
        <f aca="false">H20/G20</f>
        <v>0.241655540720961</v>
      </c>
      <c r="O20" s="27" t="n">
        <f aca="false">'Raw Data'!L33</f>
        <v>13.18</v>
      </c>
    </row>
    <row r="21" customFormat="false" ht="15" hidden="false" customHeight="false" outlineLevel="0" collapsed="false">
      <c r="A21" s="12" t="s">
        <v>83</v>
      </c>
      <c r="B21" s="22" t="n">
        <f aca="false">'Raw Data'!D34</f>
        <v>2806</v>
      </c>
      <c r="C21" s="22" t="n">
        <f aca="false">'Raw Data'!E34</f>
        <v>402</v>
      </c>
      <c r="D21" s="22" t="n">
        <f aca="false">'Raw Data'!F34</f>
        <v>339</v>
      </c>
      <c r="E21" s="22" t="n">
        <f aca="false">'Raw Data'!G34+'Raw Data'!H34</f>
        <v>1576</v>
      </c>
      <c r="F21" s="22" t="n">
        <f aca="false">'Raw Data'!I34</f>
        <v>1214</v>
      </c>
      <c r="G21" s="22" t="n">
        <f aca="false">'Raw Data'!J34</f>
        <v>3090</v>
      </c>
      <c r="H21" s="22" t="n">
        <f aca="false">'Raw Data'!K34</f>
        <v>650</v>
      </c>
      <c r="I21" s="23" t="n">
        <f aca="false">F21/E21</f>
        <v>0.770304568527919</v>
      </c>
      <c r="J21" s="24" t="n">
        <f aca="false">D21/E21</f>
        <v>0.21510152284264</v>
      </c>
      <c r="K21" s="24" t="n">
        <f aca="false">D21/G21</f>
        <v>0.109708737864078</v>
      </c>
      <c r="L21" s="25" t="n">
        <f aca="false">LN(G21)</f>
        <v>8.03592636989179</v>
      </c>
      <c r="M21" s="24" t="n">
        <f aca="false">(B21-'Raw Data'!D33)/'Raw Data'!D33</f>
        <v>0.115705765407555</v>
      </c>
      <c r="N21" s="24" t="n">
        <f aca="false">H21/G21</f>
        <v>0.210355987055016</v>
      </c>
      <c r="O21" s="23" t="n">
        <f aca="false">'Raw Data'!L34</f>
        <v>17.16</v>
      </c>
    </row>
    <row r="22" customFormat="false" ht="15" hidden="false" customHeight="false" outlineLevel="0" collapsed="false">
      <c r="A22" s="15" t="s">
        <v>84</v>
      </c>
      <c r="B22" s="26" t="n">
        <f aca="false">'Raw Data'!D35</f>
        <v>2784</v>
      </c>
      <c r="C22" s="26" t="n">
        <f aca="false">'Raw Data'!E35</f>
        <v>411</v>
      </c>
      <c r="D22" s="26" t="n">
        <f aca="false">'Raw Data'!F35</f>
        <v>238</v>
      </c>
      <c r="E22" s="26" t="n">
        <f aca="false">'Raw Data'!G35+'Raw Data'!H35</f>
        <v>1765</v>
      </c>
      <c r="F22" s="26" t="n">
        <f aca="false">'Raw Data'!I35</f>
        <v>853</v>
      </c>
      <c r="G22" s="26" t="n">
        <f aca="false">'Raw Data'!J35</f>
        <v>2983</v>
      </c>
      <c r="H22" s="26" t="n">
        <f aca="false">'Raw Data'!K35</f>
        <v>1243</v>
      </c>
      <c r="I22" s="27" t="n">
        <f aca="false">F22/E22</f>
        <v>0.48328611898017</v>
      </c>
      <c r="J22" s="28" t="n">
        <f aca="false">D22/E22</f>
        <v>0.134844192634561</v>
      </c>
      <c r="K22" s="28" t="n">
        <f aca="false">D22/G22</f>
        <v>0.0797854508883674</v>
      </c>
      <c r="L22" s="29" t="n">
        <f aca="false">LN(G22)</f>
        <v>8.00068478451475</v>
      </c>
      <c r="M22" s="28" t="n">
        <f aca="false">(B22-'Raw Data'!D34)/'Raw Data'!D34</f>
        <v>-0.00784034212401996</v>
      </c>
      <c r="N22" s="28" t="n">
        <f aca="false">H22/G22</f>
        <v>0.416694602748911</v>
      </c>
      <c r="O22" s="27" t="n">
        <f aca="false">'Raw Data'!L35</f>
        <v>12.03</v>
      </c>
    </row>
    <row r="23" customFormat="false" ht="15" hidden="false" customHeight="false" outlineLevel="0" collapsed="false">
      <c r="A23" s="12" t="s">
        <v>85</v>
      </c>
      <c r="B23" s="22" t="n">
        <f aca="false">'Raw Data'!D36</f>
        <v>3332</v>
      </c>
      <c r="C23" s="22" t="n">
        <f aca="false">'Raw Data'!E36</f>
        <v>526</v>
      </c>
      <c r="D23" s="22" t="n">
        <f aca="false">'Raw Data'!F36</f>
        <v>320</v>
      </c>
      <c r="E23" s="22" t="n">
        <f aca="false">'Raw Data'!G36+'Raw Data'!H36</f>
        <v>2048</v>
      </c>
      <c r="F23" s="22" t="n">
        <f aca="false">'Raw Data'!I36</f>
        <v>936</v>
      </c>
      <c r="G23" s="22" t="n">
        <f aca="false">'Raw Data'!J36</f>
        <v>3493</v>
      </c>
      <c r="H23" s="22" t="n">
        <f aca="false">'Raw Data'!K36</f>
        <v>1344</v>
      </c>
      <c r="I23" s="23" t="n">
        <f aca="false">F23/E23</f>
        <v>0.45703125</v>
      </c>
      <c r="J23" s="24" t="n">
        <f aca="false">D23/E23</f>
        <v>0.15625</v>
      </c>
      <c r="K23" s="24" t="n">
        <f aca="false">D23/G23</f>
        <v>0.0916117950186087</v>
      </c>
      <c r="L23" s="25" t="n">
        <f aca="false">LN(G23)</f>
        <v>8.15851624480683</v>
      </c>
      <c r="M23" s="24" t="n">
        <f aca="false">(B23-'Raw Data'!D35)/'Raw Data'!D35</f>
        <v>0.19683908045977</v>
      </c>
      <c r="N23" s="24" t="n">
        <f aca="false">H23/G23</f>
        <v>0.384769539078156</v>
      </c>
      <c r="O23" s="23" t="n">
        <f aca="false">'Raw Data'!L36</f>
        <v>16.17</v>
      </c>
    </row>
    <row r="24" customFormat="false" ht="15" hidden="false" customHeight="false" outlineLevel="0" collapsed="false">
      <c r="A24" s="15" t="s">
        <v>86</v>
      </c>
      <c r="B24" s="26" t="n">
        <f aca="false">'Raw Data'!D37</f>
        <v>3772</v>
      </c>
      <c r="C24" s="26" t="n">
        <f aca="false">'Raw Data'!E37</f>
        <v>465</v>
      </c>
      <c r="D24" s="26" t="n">
        <f aca="false">'Raw Data'!F37</f>
        <v>237</v>
      </c>
      <c r="E24" s="26" t="n">
        <f aca="false">'Raw Data'!G37+'Raw Data'!H37</f>
        <v>2237</v>
      </c>
      <c r="F24" s="26" t="n">
        <f aca="false">'Raw Data'!I37</f>
        <v>1061</v>
      </c>
      <c r="G24" s="26" t="n">
        <f aca="false">'Raw Data'!J37</f>
        <v>3695</v>
      </c>
      <c r="H24" s="26" t="n">
        <f aca="false">'Raw Data'!K37</f>
        <v>1381</v>
      </c>
      <c r="I24" s="27" t="n">
        <f aca="false">F24/E24</f>
        <v>0.474295932051855</v>
      </c>
      <c r="J24" s="28" t="n">
        <f aca="false">D24/E24</f>
        <v>0.105945462673223</v>
      </c>
      <c r="K24" s="28" t="n">
        <f aca="false">D24/G24</f>
        <v>0.0641407307171854</v>
      </c>
      <c r="L24" s="29" t="n">
        <f aca="false">LN(G24)</f>
        <v>8.2147358333823</v>
      </c>
      <c r="M24" s="28" t="n">
        <f aca="false">(B24-'Raw Data'!D36)/'Raw Data'!D36</f>
        <v>0.132052821128451</v>
      </c>
      <c r="N24" s="28" t="n">
        <f aca="false">H24/G24</f>
        <v>0.373748308525034</v>
      </c>
      <c r="O24" s="27" t="n">
        <f aca="false">'Raw Data'!L37</f>
        <v>11.98</v>
      </c>
    </row>
    <row r="25" customFormat="false" ht="15" hidden="false" customHeight="false" outlineLevel="0" collapsed="false">
      <c r="A25" s="30" t="s">
        <v>87</v>
      </c>
      <c r="B25" s="31" t="n">
        <f aca="false">AVERAGE(B15:B24)</f>
        <v>2468.7</v>
      </c>
      <c r="C25" s="31" t="n">
        <f aca="false">AVERAGE(C15:C24)</f>
        <v>340.5</v>
      </c>
      <c r="D25" s="31" t="n">
        <f aca="false">AVERAGE(D15:D24)</f>
        <v>212.4</v>
      </c>
      <c r="E25" s="31" t="n">
        <f aca="false">AVERAGE(E15:E24)</f>
        <v>1320.9</v>
      </c>
      <c r="F25" s="31" t="n">
        <f aca="false">AVERAGE(F15:F24)</f>
        <v>624.5</v>
      </c>
      <c r="G25" s="31" t="n">
        <f aca="false">AVERAGE(G15:G24)</f>
        <v>2308.6</v>
      </c>
      <c r="H25" s="31" t="n">
        <f aca="false">AVERAGE(H15:H24)</f>
        <v>778.6</v>
      </c>
      <c r="I25" s="32" t="n">
        <f aca="false">AVERAGE(I15:I24)</f>
        <v>0.456680519551259</v>
      </c>
      <c r="J25" s="33" t="n">
        <f aca="false">AVERAGE(J15:J24)</f>
        <v>0.175775522181753</v>
      </c>
      <c r="K25" s="33" t="n">
        <f aca="false">AVERAGE(K15:K24)</f>
        <v>0.0967096957198923</v>
      </c>
      <c r="L25" s="34" t="n">
        <f aca="false">AVERAGE(L15:L24)</f>
        <v>7.67227268285164</v>
      </c>
      <c r="M25" s="33" t="n">
        <f aca="false">AVERAGE(M15:M24)</f>
        <v>0.0952888078176109</v>
      </c>
      <c r="N25" s="33" t="n">
        <f aca="false">AVERAGE(N15:N24)</f>
        <v>0.336488017928929</v>
      </c>
      <c r="O25" s="32" t="n">
        <f aca="false">AVERAGE(O15:O24)</f>
        <v>10.749</v>
      </c>
    </row>
    <row r="27" customFormat="false" ht="15" hidden="false" customHeight="false" outlineLevel="0" collapsed="false">
      <c r="A27" s="35" t="s">
        <v>88</v>
      </c>
      <c r="I27" s="36" t="n">
        <f aca="false">STDEV(I15:I24)</f>
        <v>0.133006808117797</v>
      </c>
      <c r="J27" s="37" t="n">
        <f aca="false">STDEV(J15:J24)</f>
        <v>0.099320153434401</v>
      </c>
      <c r="K27" s="37" t="n">
        <f aca="false">STDEV(K15:K24)</f>
        <v>0.0471811984937725</v>
      </c>
      <c r="O27" s="36" t="n">
        <f aca="false">STDEV(O15:O24)</f>
        <v>4.80647121655332</v>
      </c>
    </row>
  </sheetData>
  <mergeCells count="10">
    <mergeCell ref="A1:P1"/>
    <mergeCell ref="B3:F3"/>
    <mergeCell ref="B4:F4"/>
    <mergeCell ref="B5:F5"/>
    <mergeCell ref="B6:F6"/>
    <mergeCell ref="B7:F7"/>
    <mergeCell ref="B8:F8"/>
    <mergeCell ref="B9:F9"/>
    <mergeCell ref="B10:F10"/>
    <mergeCell ref="B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P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
    <col collapsed="false" customWidth="true" hidden="false" outlineLevel="0" max="3" min="3" style="0" width="10"/>
    <col collapsed="false" customWidth="true" hidden="false" outlineLevel="0" max="4" min="4" style="0" width="11"/>
    <col collapsed="false" customWidth="true" hidden="false" outlineLevel="0" max="5" min="5" style="0" width="12"/>
    <col collapsed="false" customWidth="true" hidden="false" outlineLevel="0" max="6" min="6" style="0" width="11"/>
    <col collapsed="false" customWidth="true" hidden="false" outlineLevel="0" max="7" min="7" style="0" width="12"/>
    <col collapsed="false" customWidth="true" hidden="false" outlineLevel="0" max="8" min="8" style="0" width="11"/>
    <col collapsed="false" customWidth="true" hidden="false" outlineLevel="0" max="11" min="9" style="0" width="9"/>
    <col collapsed="false" customWidth="true" hidden="false" outlineLevel="0" max="12" min="12" style="0" width="11"/>
    <col collapsed="false" customWidth="true" hidden="false" outlineLevel="0" max="13" min="13" style="0" width="12"/>
    <col collapsed="false" customWidth="true" hidden="false" outlineLevel="0" max="14" min="14" style="0" width="11"/>
    <col collapsed="false" customWidth="true" hidden="false" outlineLevel="0" max="15" min="15" style="0" width="10"/>
  </cols>
  <sheetData>
    <row r="1" customFormat="false" ht="30" hidden="false" customHeight="true" outlineLevel="0" collapsed="false">
      <c r="A1" s="18" t="s">
        <v>43</v>
      </c>
      <c r="B1" s="18"/>
      <c r="C1" s="18"/>
      <c r="D1" s="18"/>
      <c r="E1" s="18"/>
      <c r="F1" s="18"/>
      <c r="G1" s="18"/>
      <c r="H1" s="18"/>
      <c r="I1" s="18"/>
      <c r="J1" s="18"/>
      <c r="K1" s="18"/>
      <c r="L1" s="18"/>
      <c r="M1" s="18"/>
      <c r="N1" s="18"/>
      <c r="O1" s="18"/>
      <c r="P1" s="18"/>
    </row>
    <row r="3" customFormat="false" ht="18" hidden="false" customHeight="true" outlineLevel="0" collapsed="false">
      <c r="A3" s="19" t="s">
        <v>50</v>
      </c>
      <c r="B3" s="20" t="s">
        <v>102</v>
      </c>
      <c r="C3" s="20"/>
      <c r="D3" s="20"/>
      <c r="E3" s="20"/>
      <c r="F3" s="20"/>
    </row>
    <row r="4" customFormat="false" ht="18" hidden="false" customHeight="true" outlineLevel="0" collapsed="false">
      <c r="A4" s="19" t="s">
        <v>28</v>
      </c>
      <c r="B4" s="20" t="s">
        <v>40</v>
      </c>
      <c r="C4" s="20"/>
      <c r="D4" s="20"/>
      <c r="E4" s="20"/>
      <c r="F4" s="20"/>
    </row>
    <row r="5" customFormat="false" ht="18" hidden="false" customHeight="true" outlineLevel="0" collapsed="false">
      <c r="A5" s="19" t="s">
        <v>52</v>
      </c>
      <c r="B5" s="20" t="s">
        <v>103</v>
      </c>
      <c r="C5" s="20"/>
      <c r="D5" s="20"/>
      <c r="E5" s="20"/>
      <c r="F5" s="20"/>
    </row>
    <row r="6" customFormat="false" ht="18" hidden="false" customHeight="true" outlineLevel="0" collapsed="false">
      <c r="A6" s="19" t="s">
        <v>54</v>
      </c>
      <c r="B6" s="20" t="s">
        <v>104</v>
      </c>
      <c r="C6" s="20"/>
      <c r="D6" s="20"/>
      <c r="E6" s="20"/>
      <c r="F6" s="20"/>
    </row>
    <row r="7" customFormat="false" ht="18" hidden="false" customHeight="true" outlineLevel="0" collapsed="false">
      <c r="A7" s="19" t="s">
        <v>56</v>
      </c>
      <c r="B7" s="20" t="s">
        <v>105</v>
      </c>
      <c r="C7" s="20"/>
      <c r="D7" s="20"/>
      <c r="E7" s="20"/>
      <c r="F7" s="20"/>
    </row>
    <row r="8" customFormat="false" ht="18" hidden="false" customHeight="true" outlineLevel="0" collapsed="false">
      <c r="A8" s="19" t="s">
        <v>58</v>
      </c>
      <c r="B8" s="20" t="s">
        <v>106</v>
      </c>
      <c r="C8" s="20"/>
      <c r="D8" s="20"/>
      <c r="E8" s="20"/>
      <c r="F8" s="20"/>
    </row>
    <row r="9" customFormat="false" ht="18" hidden="false" customHeight="true" outlineLevel="0" collapsed="false">
      <c r="A9" s="19" t="s">
        <v>60</v>
      </c>
      <c r="B9" s="20" t="s">
        <v>107</v>
      </c>
      <c r="C9" s="20"/>
      <c r="D9" s="20"/>
      <c r="E9" s="20"/>
      <c r="F9" s="20"/>
    </row>
    <row r="10" customFormat="false" ht="18" hidden="false" customHeight="true" outlineLevel="0" collapsed="false">
      <c r="A10" s="19" t="s">
        <v>62</v>
      </c>
      <c r="B10" s="20" t="s">
        <v>101</v>
      </c>
      <c r="C10" s="20"/>
      <c r="D10" s="20"/>
      <c r="E10" s="20"/>
      <c r="F10" s="20"/>
    </row>
    <row r="11" customFormat="false" ht="15" hidden="false" customHeight="true" outlineLevel="0" collapsed="false">
      <c r="A11" s="19" t="s">
        <v>64</v>
      </c>
      <c r="B11" s="20"/>
      <c r="C11" s="20"/>
      <c r="D11" s="20"/>
      <c r="E11" s="20"/>
      <c r="F11" s="20"/>
    </row>
    <row r="13" customFormat="false" ht="15" hidden="false" customHeight="false" outlineLevel="0" collapsed="false">
      <c r="A13" s="21" t="s">
        <v>66</v>
      </c>
    </row>
    <row r="14" customFormat="false" ht="23.85" hidden="false" customHeight="false" outlineLevel="0" collapsed="false">
      <c r="A14" s="11" t="s">
        <v>67</v>
      </c>
      <c r="B14" s="11" t="s">
        <v>30</v>
      </c>
      <c r="C14" s="11" t="s">
        <v>68</v>
      </c>
      <c r="D14" s="11" t="s">
        <v>32</v>
      </c>
      <c r="E14" s="11" t="s">
        <v>69</v>
      </c>
      <c r="F14" s="11" t="s">
        <v>35</v>
      </c>
      <c r="G14" s="11" t="s">
        <v>36</v>
      </c>
      <c r="H14" s="11" t="s">
        <v>70</v>
      </c>
      <c r="I14" s="11" t="s">
        <v>71</v>
      </c>
      <c r="J14" s="11" t="s">
        <v>72</v>
      </c>
      <c r="K14" s="11" t="s">
        <v>73</v>
      </c>
      <c r="L14" s="11" t="s">
        <v>74</v>
      </c>
      <c r="M14" s="11" t="s">
        <v>75</v>
      </c>
      <c r="N14" s="11" t="s">
        <v>76</v>
      </c>
      <c r="O14" s="11" t="s">
        <v>38</v>
      </c>
    </row>
    <row r="15" customFormat="false" ht="15" hidden="false" customHeight="false" outlineLevel="0" collapsed="false">
      <c r="A15" s="12" t="s">
        <v>77</v>
      </c>
      <c r="B15" s="22" t="n">
        <f aca="false">'Raw Data'!D39</f>
        <v>5602</v>
      </c>
      <c r="C15" s="22" t="n">
        <f aca="false">'Raw Data'!E39</f>
        <v>1108</v>
      </c>
      <c r="D15" s="22" t="n">
        <f aca="false">'Raw Data'!F39</f>
        <v>676</v>
      </c>
      <c r="E15" s="22" t="n">
        <f aca="false">'Raw Data'!G39+'Raw Data'!H39</f>
        <v>3690</v>
      </c>
      <c r="F15" s="22" t="n">
        <f aca="false">'Raw Data'!I39</f>
        <v>2596</v>
      </c>
      <c r="G15" s="22" t="n">
        <f aca="false">'Raw Data'!J39</f>
        <v>6985</v>
      </c>
      <c r="H15" s="22" t="n">
        <f aca="false">'Raw Data'!K39</f>
        <v>2585</v>
      </c>
      <c r="I15" s="23" t="n">
        <f aca="false">F15/E15</f>
        <v>0.703523035230352</v>
      </c>
      <c r="J15" s="24" t="n">
        <f aca="false">D15/E15</f>
        <v>0.18319783197832</v>
      </c>
      <c r="K15" s="24" t="n">
        <f aca="false">D15/G15</f>
        <v>0.0967788117394417</v>
      </c>
      <c r="L15" s="25" t="n">
        <f aca="false">LN(G15)</f>
        <v>8.85152027169106</v>
      </c>
      <c r="M15" s="24" t="n">
        <f aca="false">(B15-'Raw Data'!D38)/'Raw Data'!D38</f>
        <v>-0.0223385689354276</v>
      </c>
      <c r="N15" s="24" t="n">
        <f aca="false">H15/G15</f>
        <v>0.37007874015748</v>
      </c>
      <c r="O15" s="23" t="n">
        <f aca="false">'Raw Data'!L39</f>
        <v>21.25</v>
      </c>
    </row>
    <row r="16" customFormat="false" ht="15" hidden="false" customHeight="false" outlineLevel="0" collapsed="false">
      <c r="A16" s="15" t="s">
        <v>78</v>
      </c>
      <c r="B16" s="26" t="n">
        <f aca="false">'Raw Data'!D40</f>
        <v>5691</v>
      </c>
      <c r="C16" s="26" t="n">
        <f aca="false">'Raw Data'!E40</f>
        <v>1131</v>
      </c>
      <c r="D16" s="26" t="n">
        <f aca="false">'Raw Data'!F40</f>
        <v>1002</v>
      </c>
      <c r="E16" s="26" t="n">
        <f aca="false">'Raw Data'!G40+'Raw Data'!H40</f>
        <v>3986</v>
      </c>
      <c r="F16" s="26" t="n">
        <f aca="false">'Raw Data'!I40</f>
        <v>2198</v>
      </c>
      <c r="G16" s="26" t="n">
        <f aca="false">'Raw Data'!J40</f>
        <v>6959</v>
      </c>
      <c r="H16" s="26" t="n">
        <f aca="false">'Raw Data'!K40</f>
        <v>2507</v>
      </c>
      <c r="I16" s="27" t="n">
        <f aca="false">F16/E16</f>
        <v>0.551430005017562</v>
      </c>
      <c r="J16" s="28" t="n">
        <f aca="false">D16/E16</f>
        <v>0.25137982940291</v>
      </c>
      <c r="K16" s="28" t="n">
        <f aca="false">D16/G16</f>
        <v>0.143986204914499</v>
      </c>
      <c r="L16" s="29" t="n">
        <f aca="false">LN(G16)</f>
        <v>8.84779106484485</v>
      </c>
      <c r="M16" s="28" t="n">
        <f aca="false">(B16-'Raw Data'!D39)/'Raw Data'!D39</f>
        <v>0.0158871831488754</v>
      </c>
      <c r="N16" s="28" t="n">
        <f aca="false">H16/G16</f>
        <v>0.360252909900848</v>
      </c>
      <c r="O16" s="27" t="n">
        <f aca="false">'Raw Data'!L40</f>
        <v>34.87</v>
      </c>
    </row>
    <row r="17" customFormat="false" ht="15" hidden="false" customHeight="false" outlineLevel="0" collapsed="false">
      <c r="A17" s="12" t="s">
        <v>79</v>
      </c>
      <c r="B17" s="22" t="n">
        <f aca="false">'Raw Data'!D41</f>
        <v>5851</v>
      </c>
      <c r="C17" s="22" t="n">
        <f aca="false">'Raw Data'!E41</f>
        <v>859</v>
      </c>
      <c r="D17" s="22" t="n">
        <f aca="false">'Raw Data'!F41</f>
        <v>546</v>
      </c>
      <c r="E17" s="22" t="n">
        <f aca="false">'Raw Data'!G41+'Raw Data'!H41</f>
        <v>4632</v>
      </c>
      <c r="F17" s="22" t="n">
        <f aca="false">'Raw Data'!I41</f>
        <v>2282</v>
      </c>
      <c r="G17" s="22" t="n">
        <f aca="false">'Raw Data'!J41</f>
        <v>7696</v>
      </c>
      <c r="H17" s="22" t="n">
        <f aca="false">'Raw Data'!K41</f>
        <v>2612</v>
      </c>
      <c r="I17" s="23" t="n">
        <f aca="false">F17/E17</f>
        <v>0.4926597582038</v>
      </c>
      <c r="J17" s="24" t="n">
        <f aca="false">D17/E17</f>
        <v>0.117875647668394</v>
      </c>
      <c r="K17" s="24" t="n">
        <f aca="false">D17/G17</f>
        <v>0.0709459459459459</v>
      </c>
      <c r="L17" s="25" t="n">
        <f aca="false">LN(G17)</f>
        <v>8.94845599234554</v>
      </c>
      <c r="M17" s="24" t="n">
        <f aca="false">(B17-'Raw Data'!D40)/'Raw Data'!D40</f>
        <v>0.0281145668599543</v>
      </c>
      <c r="N17" s="24" t="n">
        <f aca="false">H17/G17</f>
        <v>0.339397089397089</v>
      </c>
      <c r="O17" s="23" t="n">
        <f aca="false">'Raw Data'!L41</f>
        <v>19</v>
      </c>
    </row>
    <row r="18" customFormat="false" ht="15" hidden="false" customHeight="false" outlineLevel="0" collapsed="false">
      <c r="A18" s="15" t="s">
        <v>80</v>
      </c>
      <c r="B18" s="26" t="n">
        <f aca="false">'Raw Data'!D42</f>
        <v>6415</v>
      </c>
      <c r="C18" s="26" t="n">
        <f aca="false">'Raw Data'!E42</f>
        <v>1132</v>
      </c>
      <c r="D18" s="26" t="n">
        <f aca="false">'Raw Data'!F42</f>
        <v>696</v>
      </c>
      <c r="E18" s="26" t="n">
        <f aca="false">'Raw Data'!G42+'Raw Data'!H42</f>
        <v>5239</v>
      </c>
      <c r="F18" s="26" t="n">
        <f aca="false">'Raw Data'!I42</f>
        <v>2238</v>
      </c>
      <c r="G18" s="26" t="n">
        <f aca="false">'Raw Data'!J42</f>
        <v>8369</v>
      </c>
      <c r="H18" s="26" t="n">
        <f aca="false">'Raw Data'!K42</f>
        <v>3333</v>
      </c>
      <c r="I18" s="27" t="n">
        <f aca="false">F18/E18</f>
        <v>0.427180759686963</v>
      </c>
      <c r="J18" s="28" t="n">
        <f aca="false">D18/E18</f>
        <v>0.13284978049246</v>
      </c>
      <c r="K18" s="28" t="n">
        <f aca="false">D18/G18</f>
        <v>0.083164057832477</v>
      </c>
      <c r="L18" s="29" t="n">
        <f aca="false">LN(G18)</f>
        <v>9.03228968203287</v>
      </c>
      <c r="M18" s="28" t="n">
        <f aca="false">(B18-'Raw Data'!D41)/'Raw Data'!D41</f>
        <v>0.0963937788412237</v>
      </c>
      <c r="N18" s="28" t="n">
        <f aca="false">H18/G18</f>
        <v>0.398255466602939</v>
      </c>
      <c r="O18" s="27" t="n">
        <f aca="false">'Raw Data'!L42</f>
        <v>24.21</v>
      </c>
    </row>
    <row r="19" customFormat="false" ht="15" hidden="false" customHeight="false" outlineLevel="0" collapsed="false">
      <c r="A19" s="12" t="s">
        <v>81</v>
      </c>
      <c r="B19" s="22" t="n">
        <f aca="false">'Raw Data'!D43</f>
        <v>6325</v>
      </c>
      <c r="C19" s="22" t="n">
        <f aca="false">'Raw Data'!E43</f>
        <v>883</v>
      </c>
      <c r="D19" s="22" t="n">
        <f aca="false">'Raw Data'!F43</f>
        <v>545</v>
      </c>
      <c r="E19" s="22" t="n">
        <f aca="false">'Raw Data'!G43+'Raw Data'!H43</f>
        <v>5667</v>
      </c>
      <c r="F19" s="22" t="n">
        <f aca="false">'Raw Data'!I43</f>
        <v>2197</v>
      </c>
      <c r="G19" s="22" t="n">
        <f aca="false">'Raw Data'!J43</f>
        <v>8727</v>
      </c>
      <c r="H19" s="22" t="n">
        <f aca="false">'Raw Data'!K43</f>
        <v>3620</v>
      </c>
      <c r="I19" s="23" t="n">
        <f aca="false">F19/E19</f>
        <v>0.387683077466031</v>
      </c>
      <c r="J19" s="24" t="n">
        <f aca="false">D19/E19</f>
        <v>0.0961708134815599</v>
      </c>
      <c r="K19" s="24" t="n">
        <f aca="false">D19/G19</f>
        <v>0.0624498682250487</v>
      </c>
      <c r="L19" s="25" t="n">
        <f aca="false">LN(G19)</f>
        <v>9.07417694716331</v>
      </c>
      <c r="M19" s="24" t="n">
        <f aca="false">(B19-'Raw Data'!D42)/'Raw Data'!D42</f>
        <v>-0.0140296180826189</v>
      </c>
      <c r="N19" s="24" t="n">
        <f aca="false">H19/G19</f>
        <v>0.414804629311333</v>
      </c>
      <c r="O19" s="23" t="n">
        <f aca="false">'Raw Data'!L43</f>
        <v>18.97</v>
      </c>
    </row>
    <row r="20" customFormat="false" ht="15" hidden="false" customHeight="false" outlineLevel="0" collapsed="false">
      <c r="A20" s="15" t="s">
        <v>82</v>
      </c>
      <c r="B20" s="26" t="n">
        <f aca="false">'Raw Data'!D44</f>
        <v>5926</v>
      </c>
      <c r="C20" s="26" t="n">
        <f aca="false">'Raw Data'!E44</f>
        <v>767</v>
      </c>
      <c r="D20" s="26" t="n">
        <f aca="false">'Raw Data'!F44</f>
        <v>367</v>
      </c>
      <c r="E20" s="26" t="n">
        <f aca="false">'Raw Data'!G44+'Raw Data'!H44</f>
        <v>6139</v>
      </c>
      <c r="F20" s="26" t="n">
        <f aca="false">'Raw Data'!I44</f>
        <v>2132</v>
      </c>
      <c r="G20" s="26" t="n">
        <f aca="false">'Raw Data'!J44</f>
        <v>9064</v>
      </c>
      <c r="H20" s="26" t="n">
        <f aca="false">'Raw Data'!K44</f>
        <v>3546</v>
      </c>
      <c r="I20" s="27" t="n">
        <f aca="false">F20/E20</f>
        <v>0.347287831894445</v>
      </c>
      <c r="J20" s="28" t="n">
        <f aca="false">D20/E20</f>
        <v>0.0597817234077211</v>
      </c>
      <c r="K20" s="28" t="n">
        <f aca="false">D20/G20</f>
        <v>0.0404898499558694</v>
      </c>
      <c r="L20" s="29" t="n">
        <f aca="false">LN(G20)</f>
        <v>9.11206580270784</v>
      </c>
      <c r="M20" s="28" t="n">
        <f aca="false">(B20-'Raw Data'!D43)/'Raw Data'!D43</f>
        <v>-0.0630830039525692</v>
      </c>
      <c r="N20" s="28" t="n">
        <f aca="false">H20/G20</f>
        <v>0.391218005295675</v>
      </c>
      <c r="O20" s="27" t="n">
        <f aca="false">'Raw Data'!L44</f>
        <v>12.74</v>
      </c>
    </row>
    <row r="21" customFormat="false" ht="15" hidden="false" customHeight="false" outlineLevel="0" collapsed="false">
      <c r="A21" s="12" t="s">
        <v>83</v>
      </c>
      <c r="B21" s="22" t="n">
        <f aca="false">'Raw Data'!D45</f>
        <v>9386</v>
      </c>
      <c r="C21" s="22" t="n">
        <f aca="false">'Raw Data'!E45</f>
        <v>2262</v>
      </c>
      <c r="D21" s="22" t="n">
        <f aca="false">'Raw Data'!F45</f>
        <v>1677</v>
      </c>
      <c r="E21" s="22" t="n">
        <f aca="false">'Raw Data'!G45+'Raw Data'!H45</f>
        <v>7539</v>
      </c>
      <c r="F21" s="22" t="n">
        <f aca="false">'Raw Data'!I45</f>
        <v>1980</v>
      </c>
      <c r="G21" s="22" t="n">
        <f aca="false">'Raw Data'!J45</f>
        <v>10576</v>
      </c>
      <c r="H21" s="22" t="n">
        <f aca="false">'Raw Data'!K45</f>
        <v>3677</v>
      </c>
      <c r="I21" s="23" t="n">
        <f aca="false">F21/E21</f>
        <v>0.262634301631516</v>
      </c>
      <c r="J21" s="24" t="n">
        <f aca="false">D21/E21</f>
        <v>0.222443294866693</v>
      </c>
      <c r="K21" s="24" t="n">
        <f aca="false">D21/G21</f>
        <v>0.15856656580938</v>
      </c>
      <c r="L21" s="25" t="n">
        <f aca="false">LN(G21)</f>
        <v>9.26634256209147</v>
      </c>
      <c r="M21" s="24" t="n">
        <f aca="false">(B21-'Raw Data'!D44)/'Raw Data'!D44</f>
        <v>0.583867701653729</v>
      </c>
      <c r="N21" s="24" t="n">
        <f aca="false">H21/G21</f>
        <v>0.34767397881997</v>
      </c>
      <c r="O21" s="23" t="n">
        <f aca="false">'Raw Data'!L45</f>
        <v>58.07</v>
      </c>
    </row>
    <row r="22" customFormat="false" ht="15" hidden="false" customHeight="false" outlineLevel="0" collapsed="false">
      <c r="A22" s="15" t="s">
        <v>84</v>
      </c>
      <c r="B22" s="26" t="n">
        <f aca="false">'Raw Data'!D46</f>
        <v>9841</v>
      </c>
      <c r="C22" s="26" t="n">
        <f aca="false">'Raw Data'!E46</f>
        <v>1285</v>
      </c>
      <c r="D22" s="26" t="n">
        <f aca="false">'Raw Data'!F46</f>
        <v>749</v>
      </c>
      <c r="E22" s="26" t="n">
        <f aca="false">'Raw Data'!G46+'Raw Data'!H46</f>
        <v>8294</v>
      </c>
      <c r="F22" s="26" t="n">
        <f aca="false">'Raw Data'!I46</f>
        <v>1677</v>
      </c>
      <c r="G22" s="26" t="n">
        <f aca="false">'Raw Data'!J46</f>
        <v>10861</v>
      </c>
      <c r="H22" s="26" t="n">
        <f aca="false">'Raw Data'!K46</f>
        <v>3927</v>
      </c>
      <c r="I22" s="27" t="n">
        <f aca="false">F22/E22</f>
        <v>0.202194357366771</v>
      </c>
      <c r="J22" s="28" t="n">
        <f aca="false">D22/E22</f>
        <v>0.0903062454786593</v>
      </c>
      <c r="K22" s="28" t="n">
        <f aca="false">D22/G22</f>
        <v>0.0689623423257527</v>
      </c>
      <c r="L22" s="29" t="n">
        <f aca="false">LN(G22)</f>
        <v>9.29293367028004</v>
      </c>
      <c r="M22" s="28" t="n">
        <f aca="false">(B22-'Raw Data'!D45)/'Raw Data'!D45</f>
        <v>0.0484764542936288</v>
      </c>
      <c r="N22" s="28" t="n">
        <f aca="false">H22/G22</f>
        <v>0.361568916306049</v>
      </c>
      <c r="O22" s="27" t="n">
        <f aca="false">'Raw Data'!L46</f>
        <v>25.91</v>
      </c>
    </row>
    <row r="23" customFormat="false" ht="15" hidden="false" customHeight="false" outlineLevel="0" collapsed="false">
      <c r="A23" s="12" t="s">
        <v>85</v>
      </c>
      <c r="B23" s="22" t="n">
        <f aca="false">'Raw Data'!D47</f>
        <v>9299</v>
      </c>
      <c r="C23" s="22" t="n">
        <f aca="false">'Raw Data'!E47</f>
        <v>958</v>
      </c>
      <c r="D23" s="22" t="n">
        <f aca="false">'Raw Data'!F47</f>
        <v>608</v>
      </c>
      <c r="E23" s="22" t="n">
        <f aca="false">'Raw Data'!G47+'Raw Data'!H47</f>
        <v>8805</v>
      </c>
      <c r="F23" s="22" t="n">
        <f aca="false">'Raw Data'!I47</f>
        <v>1790</v>
      </c>
      <c r="G23" s="22" t="n">
        <f aca="false">'Raw Data'!J47</f>
        <v>11487</v>
      </c>
      <c r="H23" s="22" t="n">
        <f aca="false">'Raw Data'!K47</f>
        <v>3772</v>
      </c>
      <c r="I23" s="23" t="n">
        <f aca="false">F23/E23</f>
        <v>0.203293583191369</v>
      </c>
      <c r="J23" s="24" t="n">
        <f aca="false">D23/E23</f>
        <v>0.0690516751845542</v>
      </c>
      <c r="K23" s="24" t="n">
        <f aca="false">D23/G23</f>
        <v>0.0529293984504222</v>
      </c>
      <c r="L23" s="25" t="n">
        <f aca="false">LN(G23)</f>
        <v>9.34897124014541</v>
      </c>
      <c r="M23" s="24" t="n">
        <f aca="false">(B23-'Raw Data'!D46)/'Raw Data'!D46</f>
        <v>-0.0550757036886495</v>
      </c>
      <c r="N23" s="24" t="n">
        <f aca="false">H23/G23</f>
        <v>0.328371202228606</v>
      </c>
      <c r="O23" s="23" t="n">
        <f aca="false">'Raw Data'!L47</f>
        <v>21.01</v>
      </c>
    </row>
    <row r="24" customFormat="false" ht="15" hidden="false" customHeight="false" outlineLevel="0" collapsed="false">
      <c r="A24" s="15" t="s">
        <v>86</v>
      </c>
      <c r="B24" s="26" t="n">
        <f aca="false">'Raw Data'!D48</f>
        <v>9587</v>
      </c>
      <c r="C24" s="26" t="n">
        <f aca="false">'Raw Data'!E48</f>
        <v>1257</v>
      </c>
      <c r="D24" s="26" t="n">
        <f aca="false">'Raw Data'!F48</f>
        <v>879</v>
      </c>
      <c r="E24" s="26" t="n">
        <f aca="false">'Raw Data'!G48+'Raw Data'!H48</f>
        <v>9578</v>
      </c>
      <c r="F24" s="26" t="n">
        <f aca="false">'Raw Data'!I48</f>
        <v>1238</v>
      </c>
      <c r="G24" s="26" t="n">
        <f aca="false">'Raw Data'!J48</f>
        <v>11900</v>
      </c>
      <c r="H24" s="26" t="n">
        <f aca="false">'Raw Data'!K48</f>
        <v>4342</v>
      </c>
      <c r="I24" s="27" t="n">
        <f aca="false">F24/E24</f>
        <v>0.129254541657966</v>
      </c>
      <c r="J24" s="28" t="n">
        <f aca="false">D24/E24</f>
        <v>0.0917728126957611</v>
      </c>
      <c r="K24" s="28" t="n">
        <f aca="false">D24/G24</f>
        <v>0.0738655462184874</v>
      </c>
      <c r="L24" s="29" t="n">
        <f aca="false">LN(G24)</f>
        <v>9.38429367909962</v>
      </c>
      <c r="M24" s="28" t="n">
        <f aca="false">(B24-'Raw Data'!D47)/'Raw Data'!D47</f>
        <v>0.0309710721582966</v>
      </c>
      <c r="N24" s="28" t="n">
        <f aca="false">H24/G24</f>
        <v>0.364873949579832</v>
      </c>
      <c r="O24" s="27" t="n">
        <f aca="false">'Raw Data'!L48</f>
        <v>30.4</v>
      </c>
    </row>
    <row r="25" customFormat="false" ht="15" hidden="false" customHeight="false" outlineLevel="0" collapsed="false">
      <c r="A25" s="30" t="s">
        <v>87</v>
      </c>
      <c r="B25" s="31" t="n">
        <f aca="false">AVERAGE(B15:B24)</f>
        <v>7392.3</v>
      </c>
      <c r="C25" s="31" t="n">
        <f aca="false">AVERAGE(C15:C24)</f>
        <v>1164.2</v>
      </c>
      <c r="D25" s="31" t="n">
        <f aca="false">AVERAGE(D15:D24)</f>
        <v>774.5</v>
      </c>
      <c r="E25" s="31" t="n">
        <f aca="false">AVERAGE(E15:E24)</f>
        <v>6356.9</v>
      </c>
      <c r="F25" s="31" t="n">
        <f aca="false">AVERAGE(F15:F24)</f>
        <v>2032.8</v>
      </c>
      <c r="G25" s="31" t="n">
        <f aca="false">AVERAGE(G15:G24)</f>
        <v>9262.4</v>
      </c>
      <c r="H25" s="31" t="n">
        <f aca="false">AVERAGE(H15:H24)</f>
        <v>3392.1</v>
      </c>
      <c r="I25" s="32" t="n">
        <f aca="false">AVERAGE(I15:I24)</f>
        <v>0.370714125134678</v>
      </c>
      <c r="J25" s="33" t="n">
        <f aca="false">AVERAGE(J15:J24)</f>
        <v>0.131482965465703</v>
      </c>
      <c r="K25" s="33" t="n">
        <f aca="false">AVERAGE(K15:K24)</f>
        <v>0.0852138591417324</v>
      </c>
      <c r="L25" s="34" t="n">
        <f aca="false">AVERAGE(L15:L24)</f>
        <v>9.1158840912402</v>
      </c>
      <c r="M25" s="33" t="n">
        <f aca="false">AVERAGE(M15:M24)</f>
        <v>0.0649183862296443</v>
      </c>
      <c r="N25" s="33" t="n">
        <f aca="false">AVERAGE(N15:N24)</f>
        <v>0.367649488759982</v>
      </c>
      <c r="O25" s="32" t="n">
        <f aca="false">AVERAGE(O15:O24)</f>
        <v>26.643</v>
      </c>
    </row>
    <row r="27" customFormat="false" ht="15" hidden="false" customHeight="false" outlineLevel="0" collapsed="false">
      <c r="A27" s="35" t="s">
        <v>88</v>
      </c>
      <c r="I27" s="36" t="n">
        <f aca="false">STDEV(I15:I24)</f>
        <v>0.179111536751008</v>
      </c>
      <c r="J27" s="37" t="n">
        <f aca="false">STDEV(J15:J24)</f>
        <v>0.0658859240611858</v>
      </c>
      <c r="K27" s="37" t="n">
        <f aca="false">STDEV(K15:K24)</f>
        <v>0.0381953313774886</v>
      </c>
      <c r="O27" s="36" t="n">
        <f aca="false">STDEV(O15:O24)</f>
        <v>12.6811785729876</v>
      </c>
    </row>
  </sheetData>
  <mergeCells count="10">
    <mergeCell ref="A1:P1"/>
    <mergeCell ref="B3:F3"/>
    <mergeCell ref="B4:F4"/>
    <mergeCell ref="B5:F5"/>
    <mergeCell ref="B6:F6"/>
    <mergeCell ref="B7:F7"/>
    <mergeCell ref="B8:F8"/>
    <mergeCell ref="B9:F9"/>
    <mergeCell ref="B10:F10"/>
    <mergeCell ref="B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P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
    <col collapsed="false" customWidth="true" hidden="false" outlineLevel="0" max="3" min="3" style="0" width="10"/>
    <col collapsed="false" customWidth="true" hidden="false" outlineLevel="0" max="4" min="4" style="0" width="11"/>
    <col collapsed="false" customWidth="true" hidden="false" outlineLevel="0" max="5" min="5" style="0" width="12"/>
    <col collapsed="false" customWidth="true" hidden="false" outlineLevel="0" max="6" min="6" style="0" width="11"/>
    <col collapsed="false" customWidth="true" hidden="false" outlineLevel="0" max="7" min="7" style="0" width="12"/>
    <col collapsed="false" customWidth="true" hidden="false" outlineLevel="0" max="8" min="8" style="0" width="11"/>
    <col collapsed="false" customWidth="true" hidden="false" outlineLevel="0" max="11" min="9" style="0" width="9"/>
    <col collapsed="false" customWidth="true" hidden="false" outlineLevel="0" max="12" min="12" style="0" width="11"/>
    <col collapsed="false" customWidth="true" hidden="false" outlineLevel="0" max="13" min="13" style="0" width="12"/>
    <col collapsed="false" customWidth="true" hidden="false" outlineLevel="0" max="14" min="14" style="0" width="11"/>
    <col collapsed="false" customWidth="true" hidden="false" outlineLevel="0" max="15" min="15" style="0" width="10"/>
  </cols>
  <sheetData>
    <row r="1" customFormat="false" ht="30" hidden="false" customHeight="true" outlineLevel="0" collapsed="false">
      <c r="A1" s="18" t="s">
        <v>44</v>
      </c>
      <c r="B1" s="18"/>
      <c r="C1" s="18"/>
      <c r="D1" s="18"/>
      <c r="E1" s="18"/>
      <c r="F1" s="18"/>
      <c r="G1" s="18"/>
      <c r="H1" s="18"/>
      <c r="I1" s="18"/>
      <c r="J1" s="18"/>
      <c r="K1" s="18"/>
      <c r="L1" s="18"/>
      <c r="M1" s="18"/>
      <c r="N1" s="18"/>
      <c r="O1" s="18"/>
      <c r="P1" s="18"/>
    </row>
    <row r="3" customFormat="false" ht="18" hidden="false" customHeight="true" outlineLevel="0" collapsed="false">
      <c r="A3" s="19" t="s">
        <v>50</v>
      </c>
      <c r="B3" s="20" t="s">
        <v>108</v>
      </c>
      <c r="C3" s="20"/>
      <c r="D3" s="20"/>
      <c r="E3" s="20"/>
      <c r="F3" s="20"/>
    </row>
    <row r="4" customFormat="false" ht="18" hidden="false" customHeight="true" outlineLevel="0" collapsed="false">
      <c r="A4" s="19" t="s">
        <v>28</v>
      </c>
      <c r="B4" s="20" t="s">
        <v>40</v>
      </c>
      <c r="C4" s="20"/>
      <c r="D4" s="20"/>
      <c r="E4" s="20"/>
      <c r="F4" s="20"/>
    </row>
    <row r="5" customFormat="false" ht="18" hidden="false" customHeight="true" outlineLevel="0" collapsed="false">
      <c r="A5" s="19" t="s">
        <v>52</v>
      </c>
      <c r="B5" s="20" t="s">
        <v>109</v>
      </c>
      <c r="C5" s="20"/>
      <c r="D5" s="20"/>
      <c r="E5" s="20"/>
      <c r="F5" s="20"/>
    </row>
    <row r="6" customFormat="false" ht="18" hidden="false" customHeight="true" outlineLevel="0" collapsed="false">
      <c r="A6" s="19" t="s">
        <v>54</v>
      </c>
      <c r="B6" s="20" t="s">
        <v>110</v>
      </c>
      <c r="C6" s="20"/>
      <c r="D6" s="20"/>
      <c r="E6" s="20"/>
      <c r="F6" s="20"/>
    </row>
    <row r="7" customFormat="false" ht="18" hidden="false" customHeight="true" outlineLevel="0" collapsed="false">
      <c r="A7" s="19" t="s">
        <v>56</v>
      </c>
      <c r="B7" s="20" t="s">
        <v>111</v>
      </c>
      <c r="C7" s="20"/>
      <c r="D7" s="20"/>
      <c r="E7" s="20"/>
      <c r="F7" s="20"/>
    </row>
    <row r="8" customFormat="false" ht="18" hidden="false" customHeight="true" outlineLevel="0" collapsed="false">
      <c r="A8" s="19" t="s">
        <v>58</v>
      </c>
      <c r="B8" s="20" t="s">
        <v>112</v>
      </c>
      <c r="C8" s="20"/>
      <c r="D8" s="20"/>
      <c r="E8" s="20"/>
      <c r="F8" s="20"/>
    </row>
    <row r="9" customFormat="false" ht="18" hidden="false" customHeight="true" outlineLevel="0" collapsed="false">
      <c r="A9" s="19" t="s">
        <v>60</v>
      </c>
      <c r="B9" s="20" t="s">
        <v>113</v>
      </c>
      <c r="C9" s="20"/>
      <c r="D9" s="20"/>
      <c r="E9" s="20"/>
      <c r="F9" s="20"/>
    </row>
    <row r="10" customFormat="false" ht="18" hidden="false" customHeight="true" outlineLevel="0" collapsed="false">
      <c r="A10" s="19" t="s">
        <v>62</v>
      </c>
      <c r="B10" s="20" t="s">
        <v>101</v>
      </c>
      <c r="C10" s="20"/>
      <c r="D10" s="20"/>
      <c r="E10" s="20"/>
      <c r="F10" s="20"/>
    </row>
    <row r="11" customFormat="false" ht="15" hidden="false" customHeight="true" outlineLevel="0" collapsed="false">
      <c r="A11" s="19" t="s">
        <v>64</v>
      </c>
      <c r="B11" s="20"/>
      <c r="C11" s="20"/>
      <c r="D11" s="20"/>
      <c r="E11" s="20"/>
      <c r="F11" s="20"/>
    </row>
    <row r="13" customFormat="false" ht="15" hidden="false" customHeight="false" outlineLevel="0" collapsed="false">
      <c r="A13" s="21" t="s">
        <v>66</v>
      </c>
    </row>
    <row r="14" customFormat="false" ht="23.85" hidden="false" customHeight="false" outlineLevel="0" collapsed="false">
      <c r="A14" s="11" t="s">
        <v>67</v>
      </c>
      <c r="B14" s="11" t="s">
        <v>30</v>
      </c>
      <c r="C14" s="11" t="s">
        <v>68</v>
      </c>
      <c r="D14" s="11" t="s">
        <v>32</v>
      </c>
      <c r="E14" s="11" t="s">
        <v>69</v>
      </c>
      <c r="F14" s="11" t="s">
        <v>35</v>
      </c>
      <c r="G14" s="11" t="s">
        <v>36</v>
      </c>
      <c r="H14" s="11" t="s">
        <v>70</v>
      </c>
      <c r="I14" s="11" t="s">
        <v>71</v>
      </c>
      <c r="J14" s="11" t="s">
        <v>72</v>
      </c>
      <c r="K14" s="11" t="s">
        <v>73</v>
      </c>
      <c r="L14" s="11" t="s">
        <v>74</v>
      </c>
      <c r="M14" s="11" t="s">
        <v>75</v>
      </c>
      <c r="N14" s="11" t="s">
        <v>76</v>
      </c>
      <c r="O14" s="11" t="s">
        <v>38</v>
      </c>
    </row>
    <row r="15" customFormat="false" ht="15" hidden="false" customHeight="false" outlineLevel="0" collapsed="false">
      <c r="A15" s="12" t="s">
        <v>77</v>
      </c>
      <c r="B15" s="22" t="n">
        <f aca="false">'Raw Data'!D50</f>
        <v>3665</v>
      </c>
      <c r="C15" s="22" t="n">
        <f aca="false">'Raw Data'!E50</f>
        <v>730</v>
      </c>
      <c r="D15" s="22" t="n">
        <f aca="false">'Raw Data'!F50</f>
        <v>242</v>
      </c>
      <c r="E15" s="22" t="n">
        <f aca="false">'Raw Data'!G50+'Raw Data'!H50</f>
        <v>2415</v>
      </c>
      <c r="F15" s="22" t="n">
        <f aca="false">'Raw Data'!I50</f>
        <v>3503</v>
      </c>
      <c r="G15" s="22" t="n">
        <f aca="false">'Raw Data'!J50</f>
        <v>6506</v>
      </c>
      <c r="H15" s="22" t="n">
        <f aca="false">'Raw Data'!K50</f>
        <v>4755</v>
      </c>
      <c r="I15" s="23" t="n">
        <f aca="false">F15/E15</f>
        <v>1.45051759834369</v>
      </c>
      <c r="J15" s="24" t="n">
        <f aca="false">D15/E15</f>
        <v>0.100207039337474</v>
      </c>
      <c r="K15" s="24" t="n">
        <f aca="false">D15/G15</f>
        <v>0.0371964340608669</v>
      </c>
      <c r="L15" s="25" t="n">
        <f aca="false">LN(G15)</f>
        <v>8.7804801070333</v>
      </c>
      <c r="M15" s="24" t="n">
        <f aca="false">(B15-'Raw Data'!D49)/'Raw Data'!D49</f>
        <v>-0.0187416331994645</v>
      </c>
      <c r="N15" s="24" t="n">
        <f aca="false">H15/G15</f>
        <v>0.730863818014141</v>
      </c>
      <c r="O15" s="23" t="n">
        <f aca="false">'Raw Data'!L50</f>
        <v>0.48</v>
      </c>
    </row>
    <row r="16" customFormat="false" ht="15" hidden="false" customHeight="false" outlineLevel="0" collapsed="false">
      <c r="A16" s="15" t="s">
        <v>78</v>
      </c>
      <c r="B16" s="26" t="n">
        <f aca="false">'Raw Data'!D51</f>
        <v>4617</v>
      </c>
      <c r="C16" s="26" t="n">
        <f aca="false">'Raw Data'!E51</f>
        <v>886</v>
      </c>
      <c r="D16" s="26" t="n">
        <f aca="false">'Raw Data'!F51</f>
        <v>337</v>
      </c>
      <c r="E16" s="26" t="n">
        <f aca="false">'Raw Data'!G51+'Raw Data'!H51</f>
        <v>2725</v>
      </c>
      <c r="F16" s="26" t="n">
        <f aca="false">'Raw Data'!I51</f>
        <v>2849</v>
      </c>
      <c r="G16" s="26" t="n">
        <f aca="false">'Raw Data'!J51</f>
        <v>6150</v>
      </c>
      <c r="H16" s="26" t="n">
        <f aca="false">'Raw Data'!K51</f>
        <v>4467</v>
      </c>
      <c r="I16" s="27" t="n">
        <f aca="false">F16/E16</f>
        <v>1.04550458715596</v>
      </c>
      <c r="J16" s="28" t="n">
        <f aca="false">D16/E16</f>
        <v>0.123669724770642</v>
      </c>
      <c r="K16" s="28" t="n">
        <f aca="false">D16/G16</f>
        <v>0.0547967479674797</v>
      </c>
      <c r="L16" s="29" t="n">
        <f aca="false">LN(G16)</f>
        <v>8.72420736080056</v>
      </c>
      <c r="M16" s="28" t="n">
        <f aca="false">(B16-'Raw Data'!D50)/'Raw Data'!D50</f>
        <v>0.259754433833561</v>
      </c>
      <c r="N16" s="28" t="n">
        <f aca="false">H16/G16</f>
        <v>0.726341463414634</v>
      </c>
      <c r="O16" s="27" t="n">
        <f aca="false">'Raw Data'!L51</f>
        <v>0.66</v>
      </c>
    </row>
    <row r="17" customFormat="false" ht="15" hidden="false" customHeight="false" outlineLevel="0" collapsed="false">
      <c r="A17" s="12" t="s">
        <v>79</v>
      </c>
      <c r="B17" s="22" t="n">
        <f aca="false">'Raw Data'!D52</f>
        <v>4566</v>
      </c>
      <c r="C17" s="22" t="n">
        <f aca="false">'Raw Data'!E52</f>
        <v>852</v>
      </c>
      <c r="D17" s="22" t="n">
        <f aca="false">'Raw Data'!F52</f>
        <v>266</v>
      </c>
      <c r="E17" s="22" t="n">
        <f aca="false">'Raw Data'!G52+'Raw Data'!H52</f>
        <v>2694</v>
      </c>
      <c r="F17" s="22" t="n">
        <f aca="false">'Raw Data'!I52</f>
        <v>2798</v>
      </c>
      <c r="G17" s="22" t="n">
        <f aca="false">'Raw Data'!J52</f>
        <v>6129</v>
      </c>
      <c r="H17" s="22" t="n">
        <f aca="false">'Raw Data'!K52</f>
        <v>4079</v>
      </c>
      <c r="I17" s="23" t="n">
        <f aca="false">F17/E17</f>
        <v>1.03860430586488</v>
      </c>
      <c r="J17" s="24" t="n">
        <f aca="false">D17/E17</f>
        <v>0.0987379361544172</v>
      </c>
      <c r="K17" s="24" t="n">
        <f aca="false">D17/G17</f>
        <v>0.0434002284222549</v>
      </c>
      <c r="L17" s="25" t="n">
        <f aca="false">LN(G17)</f>
        <v>8.72078688348573</v>
      </c>
      <c r="M17" s="24" t="n">
        <f aca="false">(B17-'Raw Data'!D51)/'Raw Data'!D51</f>
        <v>-0.0110461338531514</v>
      </c>
      <c r="N17" s="24" t="n">
        <f aca="false">H17/G17</f>
        <v>0.665524555392397</v>
      </c>
      <c r="O17" s="23" t="n">
        <f aca="false">'Raw Data'!L52</f>
        <v>0.52</v>
      </c>
    </row>
    <row r="18" customFormat="false" ht="15" hidden="false" customHeight="false" outlineLevel="0" collapsed="false">
      <c r="A18" s="15" t="s">
        <v>80</v>
      </c>
      <c r="B18" s="26" t="n">
        <f aca="false">'Raw Data'!D53</f>
        <v>5220</v>
      </c>
      <c r="C18" s="26" t="n">
        <f aca="false">'Raw Data'!E53</f>
        <v>977</v>
      </c>
      <c r="D18" s="26" t="n">
        <f aca="false">'Raw Data'!F53</f>
        <v>371</v>
      </c>
      <c r="E18" s="26" t="n">
        <f aca="false">'Raw Data'!G53+'Raw Data'!H53</f>
        <v>2932</v>
      </c>
      <c r="F18" s="26" t="n">
        <f aca="false">'Raw Data'!I53</f>
        <v>2436</v>
      </c>
      <c r="G18" s="26" t="n">
        <f aca="false">'Raw Data'!J53</f>
        <v>6103</v>
      </c>
      <c r="H18" s="26" t="n">
        <f aca="false">'Raw Data'!K53</f>
        <v>3848</v>
      </c>
      <c r="I18" s="27" t="n">
        <f aca="false">F18/E18</f>
        <v>0.830832196452933</v>
      </c>
      <c r="J18" s="28" t="n">
        <f aca="false">D18/E18</f>
        <v>0.126534788540246</v>
      </c>
      <c r="K18" s="28" t="n">
        <f aca="false">D18/G18</f>
        <v>0.060789775520236</v>
      </c>
      <c r="L18" s="29" t="n">
        <f aca="false">LN(G18)</f>
        <v>8.7165357325445</v>
      </c>
      <c r="M18" s="28" t="n">
        <f aca="false">(B18-'Raw Data'!D52)/'Raw Data'!D52</f>
        <v>0.14323258869908</v>
      </c>
      <c r="N18" s="28" t="n">
        <f aca="false">H18/G18</f>
        <v>0.630509585449779</v>
      </c>
      <c r="O18" s="27" t="n">
        <f aca="false">'Raw Data'!L53</f>
        <v>0.73</v>
      </c>
    </row>
    <row r="19" customFormat="false" ht="15" hidden="false" customHeight="false" outlineLevel="0" collapsed="false">
      <c r="A19" s="12" t="s">
        <v>81</v>
      </c>
      <c r="B19" s="22" t="n">
        <f aca="false">'Raw Data'!D54</f>
        <v>4699</v>
      </c>
      <c r="C19" s="22" t="n">
        <f aca="false">'Raw Data'!E54</f>
        <v>841</v>
      </c>
      <c r="D19" s="22" t="n">
        <f aca="false">'Raw Data'!F54</f>
        <v>342</v>
      </c>
      <c r="E19" s="22" t="n">
        <f aca="false">'Raw Data'!G54+'Raw Data'!H54</f>
        <v>2967</v>
      </c>
      <c r="F19" s="22" t="n">
        <f aca="false">'Raw Data'!I54</f>
        <v>1991</v>
      </c>
      <c r="G19" s="22" t="n">
        <f aca="false">'Raw Data'!J54</f>
        <v>5718</v>
      </c>
      <c r="H19" s="22" t="n">
        <f aca="false">'Raw Data'!K54</f>
        <v>3826</v>
      </c>
      <c r="I19" s="23" t="n">
        <f aca="false">F19/E19</f>
        <v>0.671048196831817</v>
      </c>
      <c r="J19" s="24" t="n">
        <f aca="false">D19/E19</f>
        <v>0.115267947421638</v>
      </c>
      <c r="K19" s="24" t="n">
        <f aca="false">D19/G19</f>
        <v>0.0598111227701994</v>
      </c>
      <c r="L19" s="25" t="n">
        <f aca="false">LN(G19)</f>
        <v>8.65137437288226</v>
      </c>
      <c r="M19" s="24" t="n">
        <f aca="false">(B19-'Raw Data'!D53)/'Raw Data'!D53</f>
        <v>-0.099808429118774</v>
      </c>
      <c r="N19" s="24" t="n">
        <f aca="false">H19/G19</f>
        <v>0.669115075201119</v>
      </c>
      <c r="O19" s="23" t="n">
        <f aca="false">'Raw Data'!L54</f>
        <v>0.67</v>
      </c>
    </row>
    <row r="20" customFormat="false" ht="15" hidden="false" customHeight="false" outlineLevel="0" collapsed="false">
      <c r="A20" s="15" t="s">
        <v>82</v>
      </c>
      <c r="B20" s="26" t="n">
        <f aca="false">'Raw Data'!D55</f>
        <v>4519</v>
      </c>
      <c r="C20" s="26" t="n">
        <f aca="false">'Raw Data'!E55</f>
        <v>814</v>
      </c>
      <c r="D20" s="26" t="n">
        <f aca="false">'Raw Data'!F55</f>
        <v>346</v>
      </c>
      <c r="E20" s="26" t="n">
        <f aca="false">'Raw Data'!G55+'Raw Data'!H55</f>
        <v>3317</v>
      </c>
      <c r="F20" s="26" t="n">
        <f aca="false">'Raw Data'!I55</f>
        <v>1562</v>
      </c>
      <c r="G20" s="26" t="n">
        <f aca="false">'Raw Data'!J55</f>
        <v>5754</v>
      </c>
      <c r="H20" s="26" t="n">
        <f aca="false">'Raw Data'!K55</f>
        <v>3854</v>
      </c>
      <c r="I20" s="27" t="n">
        <f aca="false">F20/E20</f>
        <v>0.47090744648779</v>
      </c>
      <c r="J20" s="28" t="n">
        <f aca="false">D20/E20</f>
        <v>0.104311124510099</v>
      </c>
      <c r="K20" s="28" t="n">
        <f aca="false">D20/G20</f>
        <v>0.0601320820298923</v>
      </c>
      <c r="L20" s="29" t="n">
        <f aca="false">LN(G20)</f>
        <v>8.65765054411149</v>
      </c>
      <c r="M20" s="28" t="n">
        <f aca="false">(B20-'Raw Data'!D54)/'Raw Data'!D54</f>
        <v>-0.0383060225579911</v>
      </c>
      <c r="N20" s="28" t="n">
        <f aca="false">H20/G20</f>
        <v>0.669794925269378</v>
      </c>
      <c r="O20" s="27" t="n">
        <f aca="false">'Raw Data'!L55</f>
        <v>0.68</v>
      </c>
    </row>
    <row r="21" customFormat="false" ht="15" hidden="false" customHeight="false" outlineLevel="0" collapsed="false">
      <c r="A21" s="12" t="s">
        <v>83</v>
      </c>
      <c r="B21" s="22" t="n">
        <f aca="false">'Raw Data'!D56</f>
        <v>6919</v>
      </c>
      <c r="C21" s="22" t="n">
        <f aca="false">'Raw Data'!E56</f>
        <v>1495</v>
      </c>
      <c r="D21" s="22" t="n">
        <f aca="false">'Raw Data'!F56</f>
        <v>815</v>
      </c>
      <c r="E21" s="22" t="n">
        <f aca="false">'Raw Data'!G56+'Raw Data'!H56</f>
        <v>3798</v>
      </c>
      <c r="F21" s="22" t="n">
        <f aca="false">'Raw Data'!I56</f>
        <v>1596</v>
      </c>
      <c r="G21" s="22" t="n">
        <f aca="false">'Raw Data'!J56</f>
        <v>6431</v>
      </c>
      <c r="H21" s="22" t="n">
        <f aca="false">'Raw Data'!K56</f>
        <v>3795</v>
      </c>
      <c r="I21" s="23" t="n">
        <f aca="false">F21/E21</f>
        <v>0.420221169036335</v>
      </c>
      <c r="J21" s="24" t="n">
        <f aca="false">D21/E21</f>
        <v>0.214586624539231</v>
      </c>
      <c r="K21" s="24" t="n">
        <f aca="false">D21/G21</f>
        <v>0.126729902037008</v>
      </c>
      <c r="L21" s="25" t="n">
        <f aca="false">LN(G21)</f>
        <v>8.76888532613486</v>
      </c>
      <c r="M21" s="24" t="n">
        <f aca="false">(B21-'Raw Data'!D55)/'Raw Data'!D55</f>
        <v>0.531090949325072</v>
      </c>
      <c r="N21" s="24" t="n">
        <f aca="false">H21/G21</f>
        <v>0.590110402736744</v>
      </c>
      <c r="O21" s="23" t="n">
        <f aca="false">'Raw Data'!L56</f>
        <v>1.6</v>
      </c>
    </row>
    <row r="22" customFormat="false" ht="15" hidden="false" customHeight="false" outlineLevel="0" collapsed="false">
      <c r="A22" s="15" t="s">
        <v>84</v>
      </c>
      <c r="B22" s="26" t="n">
        <f aca="false">'Raw Data'!D57</f>
        <v>6267</v>
      </c>
      <c r="C22" s="26" t="n">
        <f aca="false">'Raw Data'!E57</f>
        <v>918</v>
      </c>
      <c r="D22" s="26" t="n">
        <f aca="false">'Raw Data'!F57</f>
        <v>422</v>
      </c>
      <c r="E22" s="26" t="n">
        <f aca="false">'Raw Data'!G57+'Raw Data'!H57</f>
        <v>4126</v>
      </c>
      <c r="F22" s="26" t="n">
        <f aca="false">'Raw Data'!I57</f>
        <v>1404</v>
      </c>
      <c r="G22" s="26" t="n">
        <f aca="false">'Raw Data'!J57</f>
        <v>6713</v>
      </c>
      <c r="H22" s="26" t="n">
        <f aca="false">'Raw Data'!K57</f>
        <v>4422</v>
      </c>
      <c r="I22" s="27" t="n">
        <f aca="false">F22/E22</f>
        <v>0.340281143965099</v>
      </c>
      <c r="J22" s="28" t="n">
        <f aca="false">D22/E22</f>
        <v>0.102278235579254</v>
      </c>
      <c r="K22" s="28" t="n">
        <f aca="false">D22/G22</f>
        <v>0.0628631014449576</v>
      </c>
      <c r="L22" s="29" t="n">
        <f aca="false">LN(G22)</f>
        <v>8.81180122393875</v>
      </c>
      <c r="M22" s="28" t="n">
        <f aca="false">(B22-'Raw Data'!D56)/'Raw Data'!D56</f>
        <v>-0.0942332707038589</v>
      </c>
      <c r="N22" s="28" t="n">
        <f aca="false">H22/G22</f>
        <v>0.658721882913749</v>
      </c>
      <c r="O22" s="27" t="n">
        <f aca="false">'Raw Data'!L57</f>
        <v>0.83</v>
      </c>
    </row>
    <row r="23" customFormat="false" ht="15" hidden="false" customHeight="false" outlineLevel="0" collapsed="false">
      <c r="A23" s="12" t="s">
        <v>85</v>
      </c>
      <c r="B23" s="22" t="n">
        <f aca="false">'Raw Data'!D58</f>
        <v>6730</v>
      </c>
      <c r="C23" s="22" t="n">
        <f aca="false">'Raw Data'!E58</f>
        <v>935</v>
      </c>
      <c r="D23" s="22" t="n">
        <f aca="false">'Raw Data'!F58</f>
        <v>390</v>
      </c>
      <c r="E23" s="22" t="n">
        <f aca="false">'Raw Data'!G58+'Raw Data'!H58</f>
        <v>4310</v>
      </c>
      <c r="F23" s="22" t="n">
        <f aca="false">'Raw Data'!I58</f>
        <v>2094</v>
      </c>
      <c r="G23" s="22" t="n">
        <f aca="false">'Raw Data'!J58</f>
        <v>7522</v>
      </c>
      <c r="H23" s="22" t="n">
        <f aca="false">'Raw Data'!K58</f>
        <v>4663</v>
      </c>
      <c r="I23" s="23" t="n">
        <f aca="false">F23/E23</f>
        <v>0.48584686774942</v>
      </c>
      <c r="J23" s="24" t="n">
        <f aca="false">D23/E23</f>
        <v>0.0904872389791183</v>
      </c>
      <c r="K23" s="24" t="n">
        <f aca="false">D23/G23</f>
        <v>0.0518479127891518</v>
      </c>
      <c r="L23" s="25" t="n">
        <f aca="false">LN(G23)</f>
        <v>8.92558733903028</v>
      </c>
      <c r="M23" s="24" t="n">
        <f aca="false">(B23-'Raw Data'!D57)/'Raw Data'!D57</f>
        <v>0.073879048986756</v>
      </c>
      <c r="N23" s="24" t="n">
        <f aca="false">H23/G23</f>
        <v>0.619914916245679</v>
      </c>
      <c r="O23" s="23" t="n">
        <f aca="false">'Raw Data'!L58</f>
        <v>0.76</v>
      </c>
    </row>
    <row r="24" customFormat="false" ht="15" hidden="false" customHeight="false" outlineLevel="0" collapsed="false">
      <c r="A24" s="15" t="s">
        <v>86</v>
      </c>
      <c r="B24" s="26" t="n">
        <f aca="false">'Raw Data'!D59</f>
        <v>6966</v>
      </c>
      <c r="C24" s="26" t="n">
        <f aca="false">'Raw Data'!E59</f>
        <v>886</v>
      </c>
      <c r="D24" s="26" t="n">
        <f aca="false">'Raw Data'!F59</f>
        <v>367</v>
      </c>
      <c r="E24" s="26" t="n">
        <f aca="false">'Raw Data'!G59+'Raw Data'!H59</f>
        <v>4611</v>
      </c>
      <c r="F24" s="26" t="n">
        <f aca="false">'Raw Data'!I59</f>
        <v>1606</v>
      </c>
      <c r="G24" s="26" t="n">
        <f aca="false">'Raw Data'!J59</f>
        <v>7129</v>
      </c>
      <c r="H24" s="26" t="n">
        <f aca="false">'Raw Data'!K59</f>
        <v>4478</v>
      </c>
      <c r="I24" s="27" t="n">
        <f aca="false">F24/E24</f>
        <v>0.348297549338538</v>
      </c>
      <c r="J24" s="28" t="n">
        <f aca="false">D24/E24</f>
        <v>0.0795922793320321</v>
      </c>
      <c r="K24" s="28" t="n">
        <f aca="false">D24/G24</f>
        <v>0.0514798709496423</v>
      </c>
      <c r="L24" s="29" t="n">
        <f aca="false">LN(G24)</f>
        <v>8.87192625111763</v>
      </c>
      <c r="M24" s="28" t="n">
        <f aca="false">(B24-'Raw Data'!D58)/'Raw Data'!D58</f>
        <v>0.0350668647845468</v>
      </c>
      <c r="N24" s="28" t="n">
        <f aca="false">H24/G24</f>
        <v>0.628138588862393</v>
      </c>
      <c r="O24" s="27" t="n">
        <f aca="false">'Raw Data'!L59</f>
        <v>0.72</v>
      </c>
    </row>
    <row r="25" customFormat="false" ht="15" hidden="false" customHeight="false" outlineLevel="0" collapsed="false">
      <c r="A25" s="30" t="s">
        <v>87</v>
      </c>
      <c r="B25" s="31" t="n">
        <f aca="false">AVERAGE(B15:B24)</f>
        <v>5416.8</v>
      </c>
      <c r="C25" s="31" t="n">
        <f aca="false">AVERAGE(C15:C24)</f>
        <v>933.4</v>
      </c>
      <c r="D25" s="31" t="n">
        <f aca="false">AVERAGE(D15:D24)</f>
        <v>389.8</v>
      </c>
      <c r="E25" s="31" t="n">
        <f aca="false">AVERAGE(E15:E24)</f>
        <v>3389.5</v>
      </c>
      <c r="F25" s="31" t="n">
        <f aca="false">AVERAGE(F15:F24)</f>
        <v>2183.9</v>
      </c>
      <c r="G25" s="31" t="n">
        <f aca="false">AVERAGE(G15:G24)</f>
        <v>6415.5</v>
      </c>
      <c r="H25" s="31" t="n">
        <f aca="false">AVERAGE(H15:H24)</f>
        <v>4218.7</v>
      </c>
      <c r="I25" s="32" t="n">
        <f aca="false">AVERAGE(I15:I24)</f>
        <v>0.710206106122647</v>
      </c>
      <c r="J25" s="33" t="n">
        <f aca="false">AVERAGE(J15:J24)</f>
        <v>0.115567293916415</v>
      </c>
      <c r="K25" s="33" t="n">
        <f aca="false">AVERAGE(K15:K24)</f>
        <v>0.0609047177991689</v>
      </c>
      <c r="L25" s="34" t="n">
        <f aca="false">AVERAGE(L15:L24)</f>
        <v>8.76292351410794</v>
      </c>
      <c r="M25" s="33" t="n">
        <f aca="false">AVERAGE(M15:M24)</f>
        <v>0.0780888396195776</v>
      </c>
      <c r="N25" s="33" t="n">
        <f aca="false">AVERAGE(N15:N24)</f>
        <v>0.658903521350001</v>
      </c>
      <c r="O25" s="32" t="n">
        <f aca="false">AVERAGE(O15:O24)</f>
        <v>0.765</v>
      </c>
    </row>
    <row r="27" customFormat="false" ht="15" hidden="false" customHeight="false" outlineLevel="0" collapsed="false">
      <c r="A27" s="35" t="s">
        <v>88</v>
      </c>
      <c r="I27" s="36" t="n">
        <f aca="false">STDEV(I15:I24)</f>
        <v>0.37177203457142</v>
      </c>
      <c r="J27" s="37" t="n">
        <f aca="false">STDEV(J15:J24)</f>
        <v>0.0376187434428837</v>
      </c>
      <c r="K27" s="37" t="n">
        <f aca="false">STDEV(K15:K24)</f>
        <v>0.0245294537037734</v>
      </c>
      <c r="O27" s="36" t="n">
        <f aca="false">STDEV(O15:O24)</f>
        <v>0.311492821390442</v>
      </c>
    </row>
  </sheetData>
  <mergeCells count="10">
    <mergeCell ref="A1:P1"/>
    <mergeCell ref="B3:F3"/>
    <mergeCell ref="B4:F4"/>
    <mergeCell ref="B5:F5"/>
    <mergeCell ref="B6:F6"/>
    <mergeCell ref="B7:F7"/>
    <mergeCell ref="B8:F8"/>
    <mergeCell ref="B9:F9"/>
    <mergeCell ref="B10:F10"/>
    <mergeCell ref="B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P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
    <col collapsed="false" customWidth="true" hidden="false" outlineLevel="0" max="3" min="3" style="0" width="10"/>
    <col collapsed="false" customWidth="true" hidden="false" outlineLevel="0" max="4" min="4" style="0" width="11"/>
    <col collapsed="false" customWidth="true" hidden="false" outlineLevel="0" max="5" min="5" style="0" width="12"/>
    <col collapsed="false" customWidth="true" hidden="false" outlineLevel="0" max="6" min="6" style="0" width="11"/>
    <col collapsed="false" customWidth="true" hidden="false" outlineLevel="0" max="7" min="7" style="0" width="12"/>
    <col collapsed="false" customWidth="true" hidden="false" outlineLevel="0" max="8" min="8" style="0" width="11"/>
    <col collapsed="false" customWidth="true" hidden="false" outlineLevel="0" max="11" min="9" style="0" width="9"/>
    <col collapsed="false" customWidth="true" hidden="false" outlineLevel="0" max="12" min="12" style="0" width="11"/>
    <col collapsed="false" customWidth="true" hidden="false" outlineLevel="0" max="13" min="13" style="0" width="12"/>
    <col collapsed="false" customWidth="true" hidden="false" outlineLevel="0" max="14" min="14" style="0" width="11"/>
    <col collapsed="false" customWidth="true" hidden="false" outlineLevel="0" max="15" min="15" style="0" width="10"/>
  </cols>
  <sheetData>
    <row r="1" customFormat="false" ht="30" hidden="false" customHeight="true" outlineLevel="0" collapsed="false">
      <c r="A1" s="18" t="s">
        <v>45</v>
      </c>
      <c r="B1" s="18"/>
      <c r="C1" s="18"/>
      <c r="D1" s="18"/>
      <c r="E1" s="18"/>
      <c r="F1" s="18"/>
      <c r="G1" s="18"/>
      <c r="H1" s="18"/>
      <c r="I1" s="18"/>
      <c r="J1" s="18"/>
      <c r="K1" s="18"/>
      <c r="L1" s="18"/>
      <c r="M1" s="18"/>
      <c r="N1" s="18"/>
      <c r="O1" s="18"/>
      <c r="P1" s="18"/>
    </row>
    <row r="3" customFormat="false" ht="18" hidden="false" customHeight="true" outlineLevel="0" collapsed="false">
      <c r="A3" s="19" t="s">
        <v>50</v>
      </c>
      <c r="B3" s="20" t="s">
        <v>114</v>
      </c>
      <c r="C3" s="20"/>
      <c r="D3" s="20"/>
      <c r="E3" s="20"/>
      <c r="F3" s="20"/>
    </row>
    <row r="4" customFormat="false" ht="18" hidden="false" customHeight="true" outlineLevel="0" collapsed="false">
      <c r="A4" s="19" t="s">
        <v>28</v>
      </c>
      <c r="B4" s="20" t="s">
        <v>40</v>
      </c>
      <c r="C4" s="20"/>
      <c r="D4" s="20"/>
      <c r="E4" s="20"/>
      <c r="F4" s="20"/>
    </row>
    <row r="5" customFormat="false" ht="18" hidden="false" customHeight="true" outlineLevel="0" collapsed="false">
      <c r="A5" s="19" t="s">
        <v>52</v>
      </c>
      <c r="B5" s="20" t="s">
        <v>115</v>
      </c>
      <c r="C5" s="20"/>
      <c r="D5" s="20"/>
      <c r="E5" s="20"/>
      <c r="F5" s="20"/>
    </row>
    <row r="6" customFormat="false" ht="18" hidden="false" customHeight="true" outlineLevel="0" collapsed="false">
      <c r="A6" s="19" t="s">
        <v>54</v>
      </c>
      <c r="B6" s="20" t="s">
        <v>116</v>
      </c>
      <c r="C6" s="20"/>
      <c r="D6" s="20"/>
      <c r="E6" s="20"/>
      <c r="F6" s="20"/>
    </row>
    <row r="7" customFormat="false" ht="18" hidden="false" customHeight="true" outlineLevel="0" collapsed="false">
      <c r="A7" s="19" t="s">
        <v>56</v>
      </c>
      <c r="B7" s="20" t="s">
        <v>117</v>
      </c>
      <c r="C7" s="20"/>
      <c r="D7" s="20"/>
      <c r="E7" s="20"/>
      <c r="F7" s="20"/>
    </row>
    <row r="8" customFormat="false" ht="18" hidden="false" customHeight="true" outlineLevel="0" collapsed="false">
      <c r="A8" s="19" t="s">
        <v>58</v>
      </c>
      <c r="B8" s="20" t="s">
        <v>118</v>
      </c>
      <c r="C8" s="20"/>
      <c r="D8" s="20"/>
      <c r="E8" s="20"/>
      <c r="F8" s="20"/>
    </row>
    <row r="9" customFormat="false" ht="18" hidden="false" customHeight="true" outlineLevel="0" collapsed="false">
      <c r="A9" s="19" t="s">
        <v>60</v>
      </c>
      <c r="B9" s="20" t="s">
        <v>119</v>
      </c>
      <c r="C9" s="20"/>
      <c r="D9" s="20"/>
      <c r="E9" s="20"/>
      <c r="F9" s="20"/>
    </row>
    <row r="10" customFormat="false" ht="18" hidden="false" customHeight="true" outlineLevel="0" collapsed="false">
      <c r="A10" s="19" t="s">
        <v>62</v>
      </c>
      <c r="B10" s="20" t="s">
        <v>120</v>
      </c>
      <c r="C10" s="20"/>
      <c r="D10" s="20"/>
      <c r="E10" s="20"/>
      <c r="F10" s="20"/>
    </row>
    <row r="11" customFormat="false" ht="15" hidden="false" customHeight="true" outlineLevel="0" collapsed="false">
      <c r="A11" s="19" t="s">
        <v>64</v>
      </c>
      <c r="B11" s="20"/>
      <c r="C11" s="20"/>
      <c r="D11" s="20"/>
      <c r="E11" s="20"/>
      <c r="F11" s="20"/>
    </row>
    <row r="13" customFormat="false" ht="15" hidden="false" customHeight="false" outlineLevel="0" collapsed="false">
      <c r="A13" s="21" t="s">
        <v>66</v>
      </c>
    </row>
    <row r="14" customFormat="false" ht="23.85" hidden="false" customHeight="false" outlineLevel="0" collapsed="false">
      <c r="A14" s="11" t="s">
        <v>67</v>
      </c>
      <c r="B14" s="11" t="s">
        <v>30</v>
      </c>
      <c r="C14" s="11" t="s">
        <v>68</v>
      </c>
      <c r="D14" s="11" t="s">
        <v>32</v>
      </c>
      <c r="E14" s="11" t="s">
        <v>69</v>
      </c>
      <c r="F14" s="11" t="s">
        <v>35</v>
      </c>
      <c r="G14" s="11" t="s">
        <v>36</v>
      </c>
      <c r="H14" s="11" t="s">
        <v>70</v>
      </c>
      <c r="I14" s="11" t="s">
        <v>71</v>
      </c>
      <c r="J14" s="11" t="s">
        <v>72</v>
      </c>
      <c r="K14" s="11" t="s">
        <v>73</v>
      </c>
      <c r="L14" s="11" t="s">
        <v>74</v>
      </c>
      <c r="M14" s="11" t="s">
        <v>75</v>
      </c>
      <c r="N14" s="11" t="s">
        <v>76</v>
      </c>
      <c r="O14" s="11" t="s">
        <v>38</v>
      </c>
    </row>
    <row r="15" customFormat="false" ht="15" hidden="false" customHeight="false" outlineLevel="0" collapsed="false">
      <c r="A15" s="12" t="s">
        <v>77</v>
      </c>
      <c r="B15" s="22" t="n">
        <f aca="false">'Raw Data'!D61</f>
        <v>5357</v>
      </c>
      <c r="C15" s="22" t="n">
        <f aca="false">'Raw Data'!E61</f>
        <v>808</v>
      </c>
      <c r="D15" s="22" t="n">
        <f aca="false">'Raw Data'!F61</f>
        <v>321</v>
      </c>
      <c r="E15" s="22" t="n">
        <f aca="false">'Raw Data'!G61+'Raw Data'!H61</f>
        <v>2986</v>
      </c>
      <c r="F15" s="22" t="n">
        <f aca="false">'Raw Data'!I61</f>
        <v>3123</v>
      </c>
      <c r="G15" s="22" t="n">
        <f aca="false">'Raw Data'!J61</f>
        <v>6990</v>
      </c>
      <c r="H15" s="22" t="n">
        <f aca="false">'Raw Data'!K61</f>
        <v>2928</v>
      </c>
      <c r="I15" s="23" t="n">
        <f aca="false">F15/E15</f>
        <v>1.04588077695914</v>
      </c>
      <c r="J15" s="24" t="n">
        <f aca="false">D15/E15</f>
        <v>0.107501674480911</v>
      </c>
      <c r="K15" s="24" t="n">
        <f aca="false">D15/G15</f>
        <v>0.0459227467811159</v>
      </c>
      <c r="L15" s="25" t="n">
        <f aca="false">LN(G15)</f>
        <v>8.85223583522786</v>
      </c>
      <c r="M15" s="24" t="n">
        <f aca="false">(B15-'Raw Data'!D60)/'Raw Data'!D60</f>
        <v>0.0252631578947368</v>
      </c>
      <c r="N15" s="24" t="n">
        <f aca="false">H15/G15</f>
        <v>0.418884120171674</v>
      </c>
      <c r="O15" s="23" t="n">
        <f aca="false">'Raw Data'!L61</f>
        <v>12.42</v>
      </c>
    </row>
    <row r="16" customFormat="false" ht="15" hidden="false" customHeight="false" outlineLevel="0" collapsed="false">
      <c r="A16" s="15" t="s">
        <v>78</v>
      </c>
      <c r="B16" s="26" t="n">
        <f aca="false">'Raw Data'!D62</f>
        <v>5967</v>
      </c>
      <c r="C16" s="26" t="n">
        <f aca="false">'Raw Data'!E62</f>
        <v>732</v>
      </c>
      <c r="D16" s="26" t="n">
        <f aca="false">'Raw Data'!F62</f>
        <v>19</v>
      </c>
      <c r="E16" s="26" t="n">
        <f aca="false">'Raw Data'!G62+'Raw Data'!H62</f>
        <v>3011</v>
      </c>
      <c r="F16" s="26" t="n">
        <f aca="false">'Raw Data'!I62</f>
        <v>2428</v>
      </c>
      <c r="G16" s="26" t="n">
        <f aca="false">'Raw Data'!J62</f>
        <v>6458</v>
      </c>
      <c r="H16" s="26" t="n">
        <f aca="false">'Raw Data'!K62</f>
        <v>3177</v>
      </c>
      <c r="I16" s="27" t="n">
        <f aca="false">F16/E16</f>
        <v>0.806376619063434</v>
      </c>
      <c r="J16" s="28" t="n">
        <f aca="false">D16/E16</f>
        <v>0.00631019594818997</v>
      </c>
      <c r="K16" s="28" t="n">
        <f aca="false">D16/G16</f>
        <v>0.0029420873335398</v>
      </c>
      <c r="L16" s="29" t="n">
        <f aca="false">LN(G16)</f>
        <v>8.77307495131822</v>
      </c>
      <c r="M16" s="28" t="n">
        <f aca="false">(B16-'Raw Data'!D61)/'Raw Data'!D61</f>
        <v>0.113869703192085</v>
      </c>
      <c r="N16" s="28" t="n">
        <f aca="false">H16/G16</f>
        <v>0.491947971508207</v>
      </c>
      <c r="O16" s="27" t="n">
        <f aca="false">'Raw Data'!L62</f>
        <v>0.72</v>
      </c>
    </row>
    <row r="17" customFormat="false" ht="15" hidden="false" customHeight="false" outlineLevel="0" collapsed="false">
      <c r="A17" s="12" t="s">
        <v>79</v>
      </c>
      <c r="B17" s="22" t="n">
        <f aca="false">'Raw Data'!D63</f>
        <v>6332</v>
      </c>
      <c r="C17" s="22" t="n">
        <f aca="false">'Raw Data'!E63</f>
        <v>639</v>
      </c>
      <c r="D17" s="22" t="n">
        <f aca="false">'Raw Data'!F63</f>
        <v>250</v>
      </c>
      <c r="E17" s="22" t="n">
        <f aca="false">'Raw Data'!G63+'Raw Data'!H63</f>
        <v>3159</v>
      </c>
      <c r="F17" s="22" t="n">
        <f aca="false">'Raw Data'!I63</f>
        <v>2562</v>
      </c>
      <c r="G17" s="22" t="n">
        <f aca="false">'Raw Data'!J63</f>
        <v>7044</v>
      </c>
      <c r="H17" s="22" t="n">
        <f aca="false">'Raw Data'!K63</f>
        <v>3208</v>
      </c>
      <c r="I17" s="23" t="n">
        <f aca="false">F17/E17</f>
        <v>0.811016144349478</v>
      </c>
      <c r="J17" s="24" t="n">
        <f aca="false">D17/E17</f>
        <v>0.0791389680278569</v>
      </c>
      <c r="K17" s="24" t="n">
        <f aca="false">D17/G17</f>
        <v>0.0354911981828507</v>
      </c>
      <c r="L17" s="25" t="n">
        <f aca="false">LN(G17)</f>
        <v>8.8599314696161</v>
      </c>
      <c r="M17" s="24" t="n">
        <f aca="false">(B17-'Raw Data'!D62)/'Raw Data'!D62</f>
        <v>0.06116976705212</v>
      </c>
      <c r="N17" s="24" t="n">
        <f aca="false">H17/G17</f>
        <v>0.45542305508234</v>
      </c>
      <c r="O17" s="23" t="n">
        <f aca="false">'Raw Data'!L63</f>
        <v>9.67</v>
      </c>
    </row>
    <row r="18" customFormat="false" ht="15" hidden="false" customHeight="false" outlineLevel="0" collapsed="false">
      <c r="A18" s="15" t="s">
        <v>80</v>
      </c>
      <c r="B18" s="26" t="n">
        <f aca="false">'Raw Data'!D64</f>
        <v>6436</v>
      </c>
      <c r="C18" s="26" t="n">
        <f aca="false">'Raw Data'!E64</f>
        <v>633</v>
      </c>
      <c r="D18" s="26" t="n">
        <f aca="false">'Raw Data'!F64</f>
        <v>199</v>
      </c>
      <c r="E18" s="26" t="n">
        <f aca="false">'Raw Data'!G64+'Raw Data'!H64</f>
        <v>2817</v>
      </c>
      <c r="F18" s="26" t="n">
        <f aca="false">'Raw Data'!I64</f>
        <v>2652</v>
      </c>
      <c r="G18" s="26" t="n">
        <f aca="false">'Raw Data'!J64</f>
        <v>7014</v>
      </c>
      <c r="H18" s="26" t="n">
        <f aca="false">'Raw Data'!K64</f>
        <v>3362</v>
      </c>
      <c r="I18" s="27" t="n">
        <f aca="false">F18/E18</f>
        <v>0.941427050053248</v>
      </c>
      <c r="J18" s="28" t="n">
        <f aca="false">D18/E18</f>
        <v>0.0706425275115371</v>
      </c>
      <c r="K18" s="28" t="n">
        <f aca="false">D18/G18</f>
        <v>0.0283718277730254</v>
      </c>
      <c r="L18" s="29" t="n">
        <f aca="false">LN(G18)</f>
        <v>8.85566343070012</v>
      </c>
      <c r="M18" s="28" t="n">
        <f aca="false">(B18-'Raw Data'!D63)/'Raw Data'!D63</f>
        <v>0.016424510423247</v>
      </c>
      <c r="N18" s="28" t="n">
        <f aca="false">H18/G18</f>
        <v>0.479327060165384</v>
      </c>
      <c r="O18" s="27" t="n">
        <f aca="false">'Raw Data'!L64</f>
        <v>7.71</v>
      </c>
    </row>
    <row r="19" customFormat="false" ht="15" hidden="false" customHeight="false" outlineLevel="0" collapsed="false">
      <c r="A19" s="12" t="s">
        <v>81</v>
      </c>
      <c r="B19" s="22" t="n">
        <f aca="false">'Raw Data'!D65</f>
        <v>6705</v>
      </c>
      <c r="C19" s="22" t="n">
        <f aca="false">'Raw Data'!E65</f>
        <v>708</v>
      </c>
      <c r="D19" s="22" t="n">
        <f aca="false">'Raw Data'!F65</f>
        <v>171</v>
      </c>
      <c r="E19" s="22" t="n">
        <f aca="false">'Raw Data'!G65+'Raw Data'!H65</f>
        <v>2854</v>
      </c>
      <c r="F19" s="22" t="n">
        <f aca="false">'Raw Data'!I65</f>
        <v>2431</v>
      </c>
      <c r="G19" s="22" t="n">
        <f aca="false">'Raw Data'!J65</f>
        <v>6815</v>
      </c>
      <c r="H19" s="22" t="n">
        <f aca="false">'Raw Data'!K65</f>
        <v>3532</v>
      </c>
      <c r="I19" s="23" t="n">
        <f aca="false">F19/E19</f>
        <v>0.851786965662228</v>
      </c>
      <c r="J19" s="24" t="n">
        <f aca="false">D19/E19</f>
        <v>0.0599159074982481</v>
      </c>
      <c r="K19" s="24" t="n">
        <f aca="false">D19/G19</f>
        <v>0.0250917094644167</v>
      </c>
      <c r="L19" s="25" t="n">
        <f aca="false">LN(G19)</f>
        <v>8.82688134413063</v>
      </c>
      <c r="M19" s="24" t="n">
        <f aca="false">(B19-'Raw Data'!D64)/'Raw Data'!D64</f>
        <v>0.0417961466749534</v>
      </c>
      <c r="N19" s="24" t="n">
        <f aca="false">H19/G19</f>
        <v>0.518268525311812</v>
      </c>
      <c r="O19" s="23" t="n">
        <f aca="false">'Raw Data'!L65</f>
        <v>6.62</v>
      </c>
    </row>
    <row r="20" customFormat="false" ht="15" hidden="false" customHeight="false" outlineLevel="0" collapsed="false">
      <c r="A20" s="15" t="s">
        <v>82</v>
      </c>
      <c r="B20" s="26" t="n">
        <f aca="false">'Raw Data'!D66</f>
        <v>4529</v>
      </c>
      <c r="C20" s="26" t="n">
        <f aca="false">'Raw Data'!E66</f>
        <v>477</v>
      </c>
      <c r="D20" s="26" t="n">
        <f aca="false">'Raw Data'!F66</f>
        <v>93</v>
      </c>
      <c r="E20" s="26" t="n">
        <f aca="false">'Raw Data'!G66+'Raw Data'!H66</f>
        <v>2941</v>
      </c>
      <c r="F20" s="26" t="n">
        <f aca="false">'Raw Data'!I66</f>
        <v>1985</v>
      </c>
      <c r="G20" s="26" t="n">
        <f aca="false">'Raw Data'!J66</f>
        <v>6609</v>
      </c>
      <c r="H20" s="26" t="n">
        <f aca="false">'Raw Data'!K66</f>
        <v>3332</v>
      </c>
      <c r="I20" s="27" t="n">
        <f aca="false">F20/E20</f>
        <v>0.674940496429786</v>
      </c>
      <c r="J20" s="28" t="n">
        <f aca="false">D20/E20</f>
        <v>0.0316218973138388</v>
      </c>
      <c r="K20" s="28" t="n">
        <f aca="false">D20/G20</f>
        <v>0.0140717203812982</v>
      </c>
      <c r="L20" s="29" t="n">
        <f aca="false">LN(G20)</f>
        <v>8.79618763547045</v>
      </c>
      <c r="M20" s="28" t="n">
        <f aca="false">(B20-'Raw Data'!D65)/'Raw Data'!D65</f>
        <v>-0.324533929903057</v>
      </c>
      <c r="N20" s="28" t="n">
        <f aca="false">H20/G20</f>
        <v>0.504160992585868</v>
      </c>
      <c r="O20" s="27" t="n">
        <f aca="false">'Raw Data'!L66</f>
        <v>3.58</v>
      </c>
    </row>
    <row r="21" customFormat="false" ht="15" hidden="false" customHeight="false" outlineLevel="0" collapsed="false">
      <c r="A21" s="12" t="s">
        <v>83</v>
      </c>
      <c r="B21" s="22" t="n">
        <f aca="false">'Raw Data'!D67</f>
        <v>7436</v>
      </c>
      <c r="C21" s="22" t="n">
        <f aca="false">'Raw Data'!E67</f>
        <v>790</v>
      </c>
      <c r="D21" s="22" t="n">
        <f aca="false">'Raw Data'!F67</f>
        <v>59</v>
      </c>
      <c r="E21" s="22" t="n">
        <f aca="false">'Raw Data'!G67+'Raw Data'!H67</f>
        <v>3012</v>
      </c>
      <c r="F21" s="22" t="n">
        <f aca="false">'Raw Data'!I67</f>
        <v>1783</v>
      </c>
      <c r="G21" s="22" t="n">
        <f aca="false">'Raw Data'!J67</f>
        <v>7413</v>
      </c>
      <c r="H21" s="22" t="n">
        <f aca="false">'Raw Data'!K67</f>
        <v>3268</v>
      </c>
      <c r="I21" s="23" t="n">
        <f aca="false">F21/E21</f>
        <v>0.591965471447543</v>
      </c>
      <c r="J21" s="24" t="n">
        <f aca="false">D21/E21</f>
        <v>0.0195883134130146</v>
      </c>
      <c r="K21" s="24" t="n">
        <f aca="false">D21/G21</f>
        <v>0.00795899096182382</v>
      </c>
      <c r="L21" s="25" t="n">
        <f aca="false">LN(G21)</f>
        <v>8.91099049465672</v>
      </c>
      <c r="M21" s="24" t="n">
        <f aca="false">(B21-'Raw Data'!D66)/'Raw Data'!D66</f>
        <v>0.641863546036653</v>
      </c>
      <c r="N21" s="24" t="n">
        <f aca="false">H21/G21</f>
        <v>0.440847160393903</v>
      </c>
      <c r="O21" s="23" t="n">
        <f aca="false">'Raw Data'!L67</f>
        <v>2.28</v>
      </c>
    </row>
    <row r="22" customFormat="false" ht="15" hidden="false" customHeight="false" outlineLevel="0" collapsed="false">
      <c r="A22" s="15" t="s">
        <v>84</v>
      </c>
      <c r="B22" s="26" t="n">
        <f aca="false">'Raw Data'!D68</f>
        <v>7723</v>
      </c>
      <c r="C22" s="26" t="n">
        <f aca="false">'Raw Data'!E68</f>
        <v>720</v>
      </c>
      <c r="D22" s="26" t="n">
        <f aca="false">'Raw Data'!F68</f>
        <v>346</v>
      </c>
      <c r="E22" s="26" t="n">
        <f aca="false">'Raw Data'!G68+'Raw Data'!H68</f>
        <v>3297</v>
      </c>
      <c r="F22" s="26" t="n">
        <f aca="false">'Raw Data'!I68</f>
        <v>1420</v>
      </c>
      <c r="G22" s="26" t="n">
        <f aca="false">'Raw Data'!J68</f>
        <v>6398</v>
      </c>
      <c r="H22" s="26" t="n">
        <f aca="false">'Raw Data'!K68</f>
        <v>3255</v>
      </c>
      <c r="I22" s="27" t="n">
        <f aca="false">F22/E22</f>
        <v>0.430694570821959</v>
      </c>
      <c r="J22" s="28" t="n">
        <f aca="false">D22/E22</f>
        <v>0.104943888383379</v>
      </c>
      <c r="K22" s="28" t="n">
        <f aca="false">D22/G22</f>
        <v>0.0540793998124414</v>
      </c>
      <c r="L22" s="29" t="n">
        <f aca="false">LN(G22)</f>
        <v>8.76374072050946</v>
      </c>
      <c r="M22" s="28" t="n">
        <f aca="false">(B22-'Raw Data'!D67)/'Raw Data'!D67</f>
        <v>0.0385960193652501</v>
      </c>
      <c r="N22" s="28" t="n">
        <f aca="false">H22/G22</f>
        <v>0.508752735229759</v>
      </c>
      <c r="O22" s="27" t="n">
        <f aca="false">'Raw Data'!L68</f>
        <v>13.23</v>
      </c>
    </row>
    <row r="23" customFormat="false" ht="15" hidden="false" customHeight="false" outlineLevel="0" collapsed="false">
      <c r="A23" s="12" t="s">
        <v>85</v>
      </c>
      <c r="B23" s="22" t="n">
        <f aca="false">'Raw Data'!D69</f>
        <v>7100</v>
      </c>
      <c r="C23" s="22" t="n">
        <f aca="false">'Raw Data'!E69</f>
        <v>767</v>
      </c>
      <c r="D23" s="22" t="n">
        <f aca="false">'Raw Data'!F69</f>
        <v>305</v>
      </c>
      <c r="E23" s="22" t="n">
        <f aca="false">'Raw Data'!G69+'Raw Data'!H69</f>
        <v>3477</v>
      </c>
      <c r="F23" s="22" t="n">
        <f aca="false">'Raw Data'!I69</f>
        <v>1320</v>
      </c>
      <c r="G23" s="22" t="n">
        <f aca="false">'Raw Data'!J69</f>
        <v>6729</v>
      </c>
      <c r="H23" s="22" t="n">
        <f aca="false">'Raw Data'!K69</f>
        <v>3288</v>
      </c>
      <c r="I23" s="23" t="n">
        <f aca="false">F23/E23</f>
        <v>0.379637618636756</v>
      </c>
      <c r="J23" s="24" t="n">
        <f aca="false">D23/E23</f>
        <v>0.087719298245614</v>
      </c>
      <c r="K23" s="24" t="n">
        <f aca="false">D23/G23</f>
        <v>0.0453262000297221</v>
      </c>
      <c r="L23" s="25" t="n">
        <f aca="false">LN(G23)</f>
        <v>8.81418182318832</v>
      </c>
      <c r="M23" s="24" t="n">
        <f aca="false">(B23-'Raw Data'!D68)/'Raw Data'!D68</f>
        <v>-0.0806681341447624</v>
      </c>
      <c r="N23" s="24" t="n">
        <f aca="false">H23/G23</f>
        <v>0.488631297369594</v>
      </c>
      <c r="O23" s="23" t="n">
        <f aca="false">'Raw Data'!L69</f>
        <v>11.65</v>
      </c>
    </row>
    <row r="24" customFormat="false" ht="15" hidden="false" customHeight="false" outlineLevel="0" collapsed="false">
      <c r="A24" s="15" t="s">
        <v>86</v>
      </c>
      <c r="B24" s="26" t="n">
        <f aca="false">'Raw Data'!D70</f>
        <v>6236</v>
      </c>
      <c r="C24" s="26" t="n">
        <f aca="false">'Raw Data'!E70</f>
        <v>581</v>
      </c>
      <c r="D24" s="26" t="n">
        <f aca="false">'Raw Data'!F70</f>
        <v>240</v>
      </c>
      <c r="E24" s="26" t="n">
        <f aca="false">'Raw Data'!G70+'Raw Data'!H70</f>
        <v>3587</v>
      </c>
      <c r="F24" s="26" t="n">
        <f aca="false">'Raw Data'!I70</f>
        <v>1496</v>
      </c>
      <c r="G24" s="26" t="n">
        <f aca="false">'Raw Data'!J70</f>
        <v>7324</v>
      </c>
      <c r="H24" s="26" t="n">
        <f aca="false">'Raw Data'!K70</f>
        <v>3504</v>
      </c>
      <c r="I24" s="27" t="n">
        <f aca="false">F24/E24</f>
        <v>0.417061611374408</v>
      </c>
      <c r="J24" s="28" t="n">
        <f aca="false">D24/E24</f>
        <v>0.0669082798996376</v>
      </c>
      <c r="K24" s="28" t="n">
        <f aca="false">D24/G24</f>
        <v>0.0327689787001639</v>
      </c>
      <c r="L24" s="29" t="n">
        <f aca="false">LN(G24)</f>
        <v>8.8989119057944</v>
      </c>
      <c r="M24" s="28" t="n">
        <f aca="false">(B24-'Raw Data'!D69)/'Raw Data'!D69</f>
        <v>-0.12169014084507</v>
      </c>
      <c r="N24" s="28" t="n">
        <f aca="false">H24/G24</f>
        <v>0.478427089022392</v>
      </c>
      <c r="O24" s="27" t="n">
        <f aca="false">'Raw Data'!L70</f>
        <v>9.18</v>
      </c>
    </row>
    <row r="25" customFormat="false" ht="15" hidden="false" customHeight="false" outlineLevel="0" collapsed="false">
      <c r="A25" s="30" t="s">
        <v>87</v>
      </c>
      <c r="B25" s="31" t="n">
        <f aca="false">AVERAGE(B15:B24)</f>
        <v>6382.1</v>
      </c>
      <c r="C25" s="31" t="n">
        <f aca="false">AVERAGE(C15:C24)</f>
        <v>685.5</v>
      </c>
      <c r="D25" s="31" t="n">
        <f aca="false">AVERAGE(D15:D24)</f>
        <v>200.3</v>
      </c>
      <c r="E25" s="31" t="n">
        <f aca="false">AVERAGE(E15:E24)</f>
        <v>3114.1</v>
      </c>
      <c r="F25" s="31" t="n">
        <f aca="false">AVERAGE(F15:F24)</f>
        <v>2120</v>
      </c>
      <c r="G25" s="31" t="n">
        <f aca="false">AVERAGE(G15:G24)</f>
        <v>6879.4</v>
      </c>
      <c r="H25" s="31" t="n">
        <f aca="false">AVERAGE(H15:H24)</f>
        <v>3285.4</v>
      </c>
      <c r="I25" s="32" t="n">
        <f aca="false">AVERAGE(I15:I24)</f>
        <v>0.695078732479798</v>
      </c>
      <c r="J25" s="33" t="n">
        <f aca="false">AVERAGE(J15:J24)</f>
        <v>0.0634290950722227</v>
      </c>
      <c r="K25" s="33" t="n">
        <f aca="false">AVERAGE(K15:K24)</f>
        <v>0.0292024859420398</v>
      </c>
      <c r="L25" s="34" t="n">
        <f aca="false">AVERAGE(L15:L24)</f>
        <v>8.83517996106123</v>
      </c>
      <c r="M25" s="33" t="n">
        <f aca="false">AVERAGE(M15:M24)</f>
        <v>0.0412090645746155</v>
      </c>
      <c r="N25" s="33" t="n">
        <f aca="false">AVERAGE(N15:N24)</f>
        <v>0.478467000684093</v>
      </c>
      <c r="O25" s="32" t="n">
        <f aca="false">AVERAGE(O15:O24)</f>
        <v>7.706</v>
      </c>
    </row>
    <row r="27" customFormat="false" ht="15" hidden="false" customHeight="false" outlineLevel="0" collapsed="false">
      <c r="A27" s="35" t="s">
        <v>88</v>
      </c>
      <c r="I27" s="36" t="n">
        <f aca="false">STDEV(I15:I24)</f>
        <v>0.233777965736731</v>
      </c>
      <c r="J27" s="37" t="n">
        <f aca="false">STDEV(J15:J24)</f>
        <v>0.0346016149628123</v>
      </c>
      <c r="K27" s="37" t="n">
        <f aca="false">STDEV(K15:K24)</f>
        <v>0.016990497511562</v>
      </c>
      <c r="O27" s="36" t="n">
        <f aca="false">STDEV(O15:O24)</f>
        <v>4.35597214561036</v>
      </c>
    </row>
  </sheetData>
  <mergeCells count="10">
    <mergeCell ref="A1:P1"/>
    <mergeCell ref="B3:F3"/>
    <mergeCell ref="B4:F4"/>
    <mergeCell ref="B5:F5"/>
    <mergeCell ref="B6:F6"/>
    <mergeCell ref="B7:F7"/>
    <mergeCell ref="B8:F8"/>
    <mergeCell ref="B9:F9"/>
    <mergeCell ref="B10:F10"/>
    <mergeCell ref="B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P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
    <col collapsed="false" customWidth="true" hidden="false" outlineLevel="0" max="3" min="3" style="0" width="10"/>
    <col collapsed="false" customWidth="true" hidden="false" outlineLevel="0" max="4" min="4" style="0" width="11"/>
    <col collapsed="false" customWidth="true" hidden="false" outlineLevel="0" max="5" min="5" style="0" width="12"/>
    <col collapsed="false" customWidth="true" hidden="false" outlineLevel="0" max="6" min="6" style="0" width="11"/>
    <col collapsed="false" customWidth="true" hidden="false" outlineLevel="0" max="7" min="7" style="0" width="12"/>
    <col collapsed="false" customWidth="true" hidden="false" outlineLevel="0" max="8" min="8" style="0" width="11"/>
    <col collapsed="false" customWidth="true" hidden="false" outlineLevel="0" max="11" min="9" style="0" width="9"/>
    <col collapsed="false" customWidth="true" hidden="false" outlineLevel="0" max="12" min="12" style="0" width="11"/>
    <col collapsed="false" customWidth="true" hidden="false" outlineLevel="0" max="13" min="13" style="0" width="12"/>
    <col collapsed="false" customWidth="true" hidden="false" outlineLevel="0" max="14" min="14" style="0" width="11"/>
    <col collapsed="false" customWidth="true" hidden="false" outlineLevel="0" max="15" min="15" style="0" width="10"/>
  </cols>
  <sheetData>
    <row r="1" customFormat="false" ht="30" hidden="false" customHeight="true" outlineLevel="0" collapsed="false">
      <c r="A1" s="18" t="s">
        <v>46</v>
      </c>
      <c r="B1" s="18"/>
      <c r="C1" s="18"/>
      <c r="D1" s="18"/>
      <c r="E1" s="18"/>
      <c r="F1" s="18"/>
      <c r="G1" s="18"/>
      <c r="H1" s="18"/>
      <c r="I1" s="18"/>
      <c r="J1" s="18"/>
      <c r="K1" s="18"/>
      <c r="L1" s="18"/>
      <c r="M1" s="18"/>
      <c r="N1" s="18"/>
      <c r="O1" s="18"/>
      <c r="P1" s="18"/>
    </row>
    <row r="3" customFormat="false" ht="18" hidden="false" customHeight="true" outlineLevel="0" collapsed="false">
      <c r="A3" s="19" t="s">
        <v>50</v>
      </c>
      <c r="B3" s="20" t="s">
        <v>121</v>
      </c>
      <c r="C3" s="20"/>
      <c r="D3" s="20"/>
      <c r="E3" s="20"/>
      <c r="F3" s="20"/>
    </row>
    <row r="4" customFormat="false" ht="18" hidden="false" customHeight="true" outlineLevel="0" collapsed="false">
      <c r="A4" s="19" t="s">
        <v>28</v>
      </c>
      <c r="B4" s="20" t="s">
        <v>40</v>
      </c>
      <c r="C4" s="20"/>
      <c r="D4" s="20"/>
      <c r="E4" s="20"/>
      <c r="F4" s="20"/>
    </row>
    <row r="5" customFormat="false" ht="18" hidden="false" customHeight="true" outlineLevel="0" collapsed="false">
      <c r="A5" s="19" t="s">
        <v>52</v>
      </c>
      <c r="B5" s="20" t="s">
        <v>122</v>
      </c>
      <c r="C5" s="20"/>
      <c r="D5" s="20"/>
      <c r="E5" s="20"/>
      <c r="F5" s="20"/>
    </row>
    <row r="6" customFormat="false" ht="18" hidden="false" customHeight="true" outlineLevel="0" collapsed="false">
      <c r="A6" s="19" t="s">
        <v>54</v>
      </c>
      <c r="B6" s="20" t="s">
        <v>123</v>
      </c>
      <c r="C6" s="20"/>
      <c r="D6" s="20"/>
      <c r="E6" s="20"/>
      <c r="F6" s="20"/>
    </row>
    <row r="7" customFormat="false" ht="18" hidden="false" customHeight="true" outlineLevel="0" collapsed="false">
      <c r="A7" s="19" t="s">
        <v>56</v>
      </c>
      <c r="B7" s="20" t="s">
        <v>124</v>
      </c>
      <c r="C7" s="20"/>
      <c r="D7" s="20"/>
      <c r="E7" s="20"/>
      <c r="F7" s="20"/>
    </row>
    <row r="8" customFormat="false" ht="18" hidden="false" customHeight="true" outlineLevel="0" collapsed="false">
      <c r="A8" s="19" t="s">
        <v>58</v>
      </c>
      <c r="B8" s="20" t="s">
        <v>125</v>
      </c>
      <c r="C8" s="20"/>
      <c r="D8" s="20"/>
      <c r="E8" s="20"/>
      <c r="F8" s="20"/>
    </row>
    <row r="9" customFormat="false" ht="18" hidden="false" customHeight="true" outlineLevel="0" collapsed="false">
      <c r="A9" s="19" t="s">
        <v>60</v>
      </c>
      <c r="B9" s="20" t="s">
        <v>126</v>
      </c>
      <c r="C9" s="20"/>
      <c r="D9" s="20"/>
      <c r="E9" s="20"/>
      <c r="F9" s="20"/>
    </row>
    <row r="10" customFormat="false" ht="18" hidden="false" customHeight="true" outlineLevel="0" collapsed="false">
      <c r="A10" s="19" t="s">
        <v>62</v>
      </c>
      <c r="B10" s="20" t="s">
        <v>127</v>
      </c>
      <c r="C10" s="20"/>
      <c r="D10" s="20"/>
      <c r="E10" s="20"/>
      <c r="F10" s="20"/>
    </row>
    <row r="11" customFormat="false" ht="15" hidden="false" customHeight="true" outlineLevel="0" collapsed="false">
      <c r="A11" s="19" t="s">
        <v>64</v>
      </c>
      <c r="B11" s="20"/>
      <c r="C11" s="20"/>
      <c r="D11" s="20"/>
      <c r="E11" s="20"/>
      <c r="F11" s="20"/>
    </row>
    <row r="13" customFormat="false" ht="15" hidden="false" customHeight="false" outlineLevel="0" collapsed="false">
      <c r="A13" s="21" t="s">
        <v>66</v>
      </c>
    </row>
    <row r="14" customFormat="false" ht="23.85" hidden="false" customHeight="false" outlineLevel="0" collapsed="false">
      <c r="A14" s="11" t="s">
        <v>67</v>
      </c>
      <c r="B14" s="11" t="s">
        <v>30</v>
      </c>
      <c r="C14" s="11" t="s">
        <v>68</v>
      </c>
      <c r="D14" s="11" t="s">
        <v>32</v>
      </c>
      <c r="E14" s="11" t="s">
        <v>69</v>
      </c>
      <c r="F14" s="11" t="s">
        <v>35</v>
      </c>
      <c r="G14" s="11" t="s">
        <v>36</v>
      </c>
      <c r="H14" s="11" t="s">
        <v>70</v>
      </c>
      <c r="I14" s="11" t="s">
        <v>71</v>
      </c>
      <c r="J14" s="11" t="s">
        <v>72</v>
      </c>
      <c r="K14" s="11" t="s">
        <v>73</v>
      </c>
      <c r="L14" s="11" t="s">
        <v>74</v>
      </c>
      <c r="M14" s="11" t="s">
        <v>75</v>
      </c>
      <c r="N14" s="11" t="s">
        <v>76</v>
      </c>
      <c r="O14" s="11" t="s">
        <v>38</v>
      </c>
    </row>
    <row r="15" customFormat="false" ht="15" hidden="false" customHeight="false" outlineLevel="0" collapsed="false">
      <c r="A15" s="12" t="s">
        <v>77</v>
      </c>
      <c r="B15" s="22" t="n">
        <f aca="false">'Raw Data'!D72</f>
        <v>766</v>
      </c>
      <c r="C15" s="22" t="n">
        <f aca="false">'Raw Data'!E72</f>
        <v>137</v>
      </c>
      <c r="D15" s="22" t="n">
        <f aca="false">'Raw Data'!F72</f>
        <v>44</v>
      </c>
      <c r="E15" s="22" t="n">
        <f aca="false">'Raw Data'!G72+'Raw Data'!H72</f>
        <v>206</v>
      </c>
      <c r="F15" s="22" t="n">
        <f aca="false">'Raw Data'!I72</f>
        <v>352</v>
      </c>
      <c r="G15" s="22" t="n">
        <f aca="false">'Raw Data'!J72</f>
        <v>635</v>
      </c>
      <c r="H15" s="22" t="n">
        <f aca="false">'Raw Data'!K72</f>
        <v>399</v>
      </c>
      <c r="I15" s="23" t="n">
        <f aca="false">F15/E15</f>
        <v>1.70873786407767</v>
      </c>
      <c r="J15" s="24" t="n">
        <f aca="false">D15/E15</f>
        <v>0.213592233009709</v>
      </c>
      <c r="K15" s="24" t="n">
        <f aca="false">D15/G15</f>
        <v>0.0692913385826772</v>
      </c>
      <c r="L15" s="25" t="n">
        <f aca="false">LN(G15)</f>
        <v>6.45362499889269</v>
      </c>
      <c r="M15" s="24" t="n">
        <f aca="false">(B15-'Raw Data'!D71)/'Raw Data'!D71</f>
        <v>0.243506493506494</v>
      </c>
      <c r="N15" s="24" t="n">
        <f aca="false">H15/G15</f>
        <v>0.628346456692913</v>
      </c>
      <c r="O15" s="23" t="n">
        <f aca="false">'Raw Data'!L72</f>
        <v>9.63</v>
      </c>
    </row>
    <row r="16" customFormat="false" ht="15" hidden="false" customHeight="false" outlineLevel="0" collapsed="false">
      <c r="A16" s="15" t="s">
        <v>78</v>
      </c>
      <c r="B16" s="26" t="n">
        <f aca="false">'Raw Data'!D73</f>
        <v>933</v>
      </c>
      <c r="C16" s="26" t="n">
        <f aca="false">'Raw Data'!E73</f>
        <v>133</v>
      </c>
      <c r="D16" s="26" t="n">
        <f aca="false">'Raw Data'!F73</f>
        <v>57</v>
      </c>
      <c r="E16" s="26" t="n">
        <f aca="false">'Raw Data'!G73+'Raw Data'!H73</f>
        <v>264</v>
      </c>
      <c r="F16" s="26" t="n">
        <f aca="false">'Raw Data'!I73</f>
        <v>568</v>
      </c>
      <c r="G16" s="26" t="n">
        <f aca="false">'Raw Data'!J73</f>
        <v>885</v>
      </c>
      <c r="H16" s="26" t="n">
        <f aca="false">'Raw Data'!K73</f>
        <v>613</v>
      </c>
      <c r="I16" s="27" t="n">
        <f aca="false">F16/E16</f>
        <v>2.15151515151515</v>
      </c>
      <c r="J16" s="28" t="n">
        <f aca="false">D16/E16</f>
        <v>0.215909090909091</v>
      </c>
      <c r="K16" s="28" t="n">
        <f aca="false">D16/G16</f>
        <v>0.064406779661017</v>
      </c>
      <c r="L16" s="29" t="n">
        <f aca="false">LN(G16)</f>
        <v>6.78558764500793</v>
      </c>
      <c r="M16" s="28" t="n">
        <f aca="false">(B16-'Raw Data'!D72)/'Raw Data'!D72</f>
        <v>0.218015665796345</v>
      </c>
      <c r="N16" s="28" t="n">
        <f aca="false">H16/G16</f>
        <v>0.692655367231639</v>
      </c>
      <c r="O16" s="27" t="n">
        <f aca="false">'Raw Data'!L73</f>
        <v>12.51</v>
      </c>
    </row>
    <row r="17" customFormat="false" ht="15" hidden="false" customHeight="false" outlineLevel="0" collapsed="false">
      <c r="A17" s="12" t="s">
        <v>79</v>
      </c>
      <c r="B17" s="22" t="n">
        <f aca="false">'Raw Data'!D74</f>
        <v>1145</v>
      </c>
      <c r="C17" s="22" t="n">
        <f aca="false">'Raw Data'!E74</f>
        <v>155</v>
      </c>
      <c r="D17" s="22" t="n">
        <f aca="false">'Raw Data'!F74</f>
        <v>52</v>
      </c>
      <c r="E17" s="22" t="n">
        <f aca="false">'Raw Data'!G74+'Raw Data'!H74</f>
        <v>417</v>
      </c>
      <c r="F17" s="22" t="n">
        <f aca="false">'Raw Data'!I74</f>
        <v>449</v>
      </c>
      <c r="G17" s="22" t="n">
        <f aca="false">'Raw Data'!J74</f>
        <v>929</v>
      </c>
      <c r="H17" s="22" t="n">
        <f aca="false">'Raw Data'!K74</f>
        <v>574</v>
      </c>
      <c r="I17" s="23" t="n">
        <f aca="false">F17/E17</f>
        <v>1.07673860911271</v>
      </c>
      <c r="J17" s="24" t="n">
        <f aca="false">D17/E17</f>
        <v>0.124700239808153</v>
      </c>
      <c r="K17" s="24" t="n">
        <f aca="false">D17/G17</f>
        <v>0.0559741657696448</v>
      </c>
      <c r="L17" s="25" t="n">
        <f aca="false">LN(G17)</f>
        <v>6.83410873881384</v>
      </c>
      <c r="M17" s="24" t="n">
        <f aca="false">(B17-'Raw Data'!D73)/'Raw Data'!D73</f>
        <v>0.227224008574491</v>
      </c>
      <c r="N17" s="24" t="n">
        <f aca="false">H17/G17</f>
        <v>0.617868675995694</v>
      </c>
      <c r="O17" s="23" t="n">
        <f aca="false">'Raw Data'!L74</f>
        <v>9.43</v>
      </c>
    </row>
    <row r="18" customFormat="false" ht="15" hidden="false" customHeight="false" outlineLevel="0" collapsed="false">
      <c r="A18" s="15" t="s">
        <v>80</v>
      </c>
      <c r="B18" s="26" t="n">
        <f aca="false">'Raw Data'!D75</f>
        <v>1241</v>
      </c>
      <c r="C18" s="26" t="n">
        <f aca="false">'Raw Data'!E75</f>
        <v>178</v>
      </c>
      <c r="D18" s="26" t="n">
        <f aca="false">'Raw Data'!F75</f>
        <v>64</v>
      </c>
      <c r="E18" s="26" t="n">
        <f aca="false">'Raw Data'!G75+'Raw Data'!H75</f>
        <v>482</v>
      </c>
      <c r="F18" s="26" t="n">
        <f aca="false">'Raw Data'!I75</f>
        <v>860</v>
      </c>
      <c r="G18" s="26" t="n">
        <f aca="false">'Raw Data'!J75</f>
        <v>1436</v>
      </c>
      <c r="H18" s="26" t="n">
        <f aca="false">'Raw Data'!K75</f>
        <v>992</v>
      </c>
      <c r="I18" s="27" t="n">
        <f aca="false">F18/E18</f>
        <v>1.78423236514523</v>
      </c>
      <c r="J18" s="28" t="n">
        <f aca="false">D18/E18</f>
        <v>0.132780082987552</v>
      </c>
      <c r="K18" s="28" t="n">
        <f aca="false">D18/G18</f>
        <v>0.0445682451253482</v>
      </c>
      <c r="L18" s="29" t="n">
        <f aca="false">LN(G18)</f>
        <v>7.26961674960817</v>
      </c>
      <c r="M18" s="28" t="n">
        <f aca="false">(B18-'Raw Data'!D74)/'Raw Data'!D74</f>
        <v>0.0838427947598253</v>
      </c>
      <c r="N18" s="28" t="n">
        <f aca="false">H18/G18</f>
        <v>0.690807799442897</v>
      </c>
      <c r="O18" s="27" t="n">
        <f aca="false">'Raw Data'!L75</f>
        <v>11.4</v>
      </c>
    </row>
    <row r="19" customFormat="false" ht="15" hidden="false" customHeight="false" outlineLevel="0" collapsed="false">
      <c r="A19" s="12" t="s">
        <v>81</v>
      </c>
      <c r="B19" s="22" t="n">
        <f aca="false">'Raw Data'!D76</f>
        <v>1436</v>
      </c>
      <c r="C19" s="22" t="n">
        <f aca="false">'Raw Data'!E76</f>
        <v>170</v>
      </c>
      <c r="D19" s="22" t="n">
        <f aca="false">'Raw Data'!F76</f>
        <v>24</v>
      </c>
      <c r="E19" s="22" t="n">
        <f aca="false">'Raw Data'!G76+'Raw Data'!H76</f>
        <v>494</v>
      </c>
      <c r="F19" s="22" t="n">
        <f aca="false">'Raw Data'!I76</f>
        <v>1040</v>
      </c>
      <c r="G19" s="22" t="n">
        <f aca="false">'Raw Data'!J76</f>
        <v>1645</v>
      </c>
      <c r="H19" s="22" t="n">
        <f aca="false">'Raw Data'!K76</f>
        <v>1140</v>
      </c>
      <c r="I19" s="23" t="n">
        <f aca="false">F19/E19</f>
        <v>2.10526315789474</v>
      </c>
      <c r="J19" s="24" t="n">
        <f aca="false">D19/E19</f>
        <v>0.048582995951417</v>
      </c>
      <c r="K19" s="24" t="n">
        <f aca="false">D19/G19</f>
        <v>0.0145896656534954</v>
      </c>
      <c r="L19" s="25" t="n">
        <f aca="false">LN(G19)</f>
        <v>7.40549566319947</v>
      </c>
      <c r="M19" s="24" t="n">
        <f aca="false">(B19-'Raw Data'!D75)/'Raw Data'!D75</f>
        <v>0.157131345688961</v>
      </c>
      <c r="N19" s="24" t="n">
        <f aca="false">H19/G19</f>
        <v>0.693009118541033</v>
      </c>
      <c r="O19" s="23" t="n">
        <f aca="false">'Raw Data'!L76</f>
        <v>4.24</v>
      </c>
    </row>
    <row r="20" customFormat="false" ht="15" hidden="false" customHeight="false" outlineLevel="0" collapsed="false">
      <c r="A20" s="15" t="s">
        <v>82</v>
      </c>
      <c r="B20" s="26" t="n">
        <f aca="false">'Raw Data'!D77</f>
        <v>1622</v>
      </c>
      <c r="C20" s="26" t="n">
        <f aca="false">'Raw Data'!E77</f>
        <v>257</v>
      </c>
      <c r="D20" s="26" t="n">
        <f aca="false">'Raw Data'!F77</f>
        <v>69</v>
      </c>
      <c r="E20" s="26" t="n">
        <f aca="false">'Raw Data'!G77+'Raw Data'!H77</f>
        <v>563</v>
      </c>
      <c r="F20" s="26" t="n">
        <f aca="false">'Raw Data'!I77</f>
        <v>962</v>
      </c>
      <c r="G20" s="26" t="n">
        <f aca="false">'Raw Data'!J77</f>
        <v>1676</v>
      </c>
      <c r="H20" s="26" t="n">
        <f aca="false">'Raw Data'!K77</f>
        <v>1062</v>
      </c>
      <c r="I20" s="27" t="n">
        <f aca="false">F20/E20</f>
        <v>1.70870337477798</v>
      </c>
      <c r="J20" s="28" t="n">
        <f aca="false">D20/E20</f>
        <v>0.122557726465364</v>
      </c>
      <c r="K20" s="28" t="n">
        <f aca="false">D20/G20</f>
        <v>0.0411694510739857</v>
      </c>
      <c r="L20" s="29" t="n">
        <f aca="false">LN(G20)</f>
        <v>7.42416528104203</v>
      </c>
      <c r="M20" s="28" t="n">
        <f aca="false">(B20-'Raw Data'!D76)/'Raw Data'!D76</f>
        <v>0.129526462395543</v>
      </c>
      <c r="N20" s="28" t="n">
        <f aca="false">H20/G20</f>
        <v>0.633651551312649</v>
      </c>
      <c r="O20" s="27" t="n">
        <f aca="false">'Raw Data'!L77</f>
        <v>12.25</v>
      </c>
    </row>
    <row r="21" customFormat="false" ht="15" hidden="false" customHeight="false" outlineLevel="0" collapsed="false">
      <c r="A21" s="12" t="s">
        <v>83</v>
      </c>
      <c r="B21" s="22" t="n">
        <f aca="false">'Raw Data'!D78</f>
        <v>2690</v>
      </c>
      <c r="C21" s="22" t="n">
        <f aca="false">'Raw Data'!E78</f>
        <v>652</v>
      </c>
      <c r="D21" s="22" t="n">
        <f aca="false">'Raw Data'!F78</f>
        <v>326</v>
      </c>
      <c r="E21" s="22" t="n">
        <f aca="false">'Raw Data'!G78+'Raw Data'!H78</f>
        <v>876</v>
      </c>
      <c r="F21" s="22" t="n">
        <f aca="false">'Raw Data'!I78</f>
        <v>689</v>
      </c>
      <c r="G21" s="22" t="n">
        <f aca="false">'Raw Data'!J78</f>
        <v>1824</v>
      </c>
      <c r="H21" s="22" t="n">
        <f aca="false">'Raw Data'!K78</f>
        <v>1012</v>
      </c>
      <c r="I21" s="23" t="n">
        <f aca="false">F21/E21</f>
        <v>0.786529680365297</v>
      </c>
      <c r="J21" s="24" t="n">
        <f aca="false">D21/E21</f>
        <v>0.372146118721461</v>
      </c>
      <c r="K21" s="24" t="n">
        <f aca="false">D21/G21</f>
        <v>0.178728070175439</v>
      </c>
      <c r="L21" s="25" t="n">
        <f aca="false">LN(G21)</f>
        <v>7.50878717063428</v>
      </c>
      <c r="M21" s="24" t="n">
        <f aca="false">(B21-'Raw Data'!D77)/'Raw Data'!D77</f>
        <v>0.658446362515413</v>
      </c>
      <c r="N21" s="24" t="n">
        <f aca="false">H21/G21</f>
        <v>0.554824561403509</v>
      </c>
      <c r="O21" s="23" t="n">
        <f aca="false">'Raw Data'!L78</f>
        <v>58.01</v>
      </c>
    </row>
    <row r="22" customFormat="false" ht="15" hidden="false" customHeight="false" outlineLevel="0" collapsed="false">
      <c r="A22" s="15" t="s">
        <v>84</v>
      </c>
      <c r="B22" s="26" t="n">
        <f aca="false">'Raw Data'!D79</f>
        <v>2404</v>
      </c>
      <c r="C22" s="26" t="n">
        <f aca="false">'Raw Data'!E79</f>
        <v>297</v>
      </c>
      <c r="D22" s="26" t="n">
        <f aca="false">'Raw Data'!F79</f>
        <v>165</v>
      </c>
      <c r="E22" s="26" t="n">
        <f aca="false">'Raw Data'!G79+'Raw Data'!H79</f>
        <v>1029</v>
      </c>
      <c r="F22" s="26" t="n">
        <f aca="false">'Raw Data'!I79</f>
        <v>980</v>
      </c>
      <c r="G22" s="26" t="n">
        <f aca="false">'Raw Data'!J79</f>
        <v>2218</v>
      </c>
      <c r="H22" s="26" t="n">
        <f aca="false">'Raw Data'!K79</f>
        <v>1351</v>
      </c>
      <c r="I22" s="27" t="n">
        <f aca="false">F22/E22</f>
        <v>0.952380952380952</v>
      </c>
      <c r="J22" s="28" t="n">
        <f aca="false">D22/E22</f>
        <v>0.160349854227405</v>
      </c>
      <c r="K22" s="28" t="n">
        <f aca="false">D22/G22</f>
        <v>0.0743913435527502</v>
      </c>
      <c r="L22" s="29" t="n">
        <f aca="false">LN(G22)</f>
        <v>7.70436116791031</v>
      </c>
      <c r="M22" s="28" t="n">
        <f aca="false">(B22-'Raw Data'!D78)/'Raw Data'!D78</f>
        <v>-0.10631970260223</v>
      </c>
      <c r="N22" s="28" t="n">
        <f aca="false">H22/G22</f>
        <v>0.609107303877367</v>
      </c>
      <c r="O22" s="27" t="n">
        <f aca="false">'Raw Data'!L79</f>
        <v>29.32</v>
      </c>
    </row>
    <row r="23" customFormat="false" ht="15" hidden="false" customHeight="false" outlineLevel="0" collapsed="false">
      <c r="A23" s="12" t="s">
        <v>85</v>
      </c>
      <c r="B23" s="22" t="n">
        <f aca="false">'Raw Data'!D80</f>
        <v>2902</v>
      </c>
      <c r="C23" s="22" t="n">
        <f aca="false">'Raw Data'!E80</f>
        <v>377</v>
      </c>
      <c r="D23" s="22" t="n">
        <f aca="false">'Raw Data'!F80</f>
        <v>132</v>
      </c>
      <c r="E23" s="22" t="n">
        <f aca="false">'Raw Data'!G80+'Raw Data'!H80</f>
        <v>1146</v>
      </c>
      <c r="F23" s="22" t="n">
        <f aca="false">'Raw Data'!I80</f>
        <v>1339</v>
      </c>
      <c r="G23" s="22" t="n">
        <f aca="false">'Raw Data'!J80</f>
        <v>2717</v>
      </c>
      <c r="H23" s="22" t="n">
        <f aca="false">'Raw Data'!K80</f>
        <v>1711</v>
      </c>
      <c r="I23" s="23" t="n">
        <f aca="false">F23/E23</f>
        <v>1.16841186736475</v>
      </c>
      <c r="J23" s="24" t="n">
        <f aca="false">D23/E23</f>
        <v>0.115183246073298</v>
      </c>
      <c r="K23" s="24" t="n">
        <f aca="false">D23/G23</f>
        <v>0.048582995951417</v>
      </c>
      <c r="L23" s="25" t="n">
        <f aca="false">LN(G23)</f>
        <v>7.90728360942635</v>
      </c>
      <c r="M23" s="24" t="n">
        <f aca="false">(B23-'Raw Data'!D79)/'Raw Data'!D79</f>
        <v>0.207154742096506</v>
      </c>
      <c r="N23" s="24" t="n">
        <f aca="false">H23/G23</f>
        <v>0.629738682370261</v>
      </c>
      <c r="O23" s="23" t="n">
        <f aca="false">'Raw Data'!L80</f>
        <v>23.39</v>
      </c>
    </row>
    <row r="24" customFormat="false" ht="15" hidden="false" customHeight="false" outlineLevel="0" collapsed="false">
      <c r="A24" s="15" t="s">
        <v>86</v>
      </c>
      <c r="B24" s="26" t="n">
        <f aca="false">'Raw Data'!D81</f>
        <v>3300</v>
      </c>
      <c r="C24" s="26" t="n">
        <f aca="false">'Raw Data'!E81</f>
        <v>471</v>
      </c>
      <c r="D24" s="26" t="n">
        <f aca="false">'Raw Data'!F81</f>
        <v>175</v>
      </c>
      <c r="E24" s="26" t="n">
        <f aca="false">'Raw Data'!G81+'Raw Data'!H81</f>
        <v>1311</v>
      </c>
      <c r="F24" s="26" t="n">
        <f aca="false">'Raw Data'!I81</f>
        <v>1165</v>
      </c>
      <c r="G24" s="26" t="n">
        <f aca="false">'Raw Data'!J81</f>
        <v>2732</v>
      </c>
      <c r="H24" s="26" t="n">
        <f aca="false">'Raw Data'!K81</f>
        <v>1584</v>
      </c>
      <c r="I24" s="27" t="n">
        <f aca="false">F24/E24</f>
        <v>0.888634630053394</v>
      </c>
      <c r="J24" s="28" t="n">
        <f aca="false">D24/E24</f>
        <v>0.13348588863463</v>
      </c>
      <c r="K24" s="28" t="n">
        <f aca="false">D24/G24</f>
        <v>0.0640556368960469</v>
      </c>
      <c r="L24" s="29" t="n">
        <f aca="false">LN(G24)</f>
        <v>7.91278922069068</v>
      </c>
      <c r="M24" s="28" t="n">
        <f aca="false">(B24-'Raw Data'!D80)/'Raw Data'!D80</f>
        <v>0.137146795313577</v>
      </c>
      <c r="N24" s="28" t="n">
        <f aca="false">H24/G24</f>
        <v>0.579795021961933</v>
      </c>
      <c r="O24" s="27" t="n">
        <f aca="false">'Raw Data'!L81</f>
        <v>31.2</v>
      </c>
    </row>
    <row r="25" customFormat="false" ht="15" hidden="false" customHeight="false" outlineLevel="0" collapsed="false">
      <c r="A25" s="30" t="s">
        <v>87</v>
      </c>
      <c r="B25" s="31" t="n">
        <f aca="false">AVERAGE(B15:B24)</f>
        <v>1843.9</v>
      </c>
      <c r="C25" s="31" t="n">
        <f aca="false">AVERAGE(C15:C24)</f>
        <v>282.7</v>
      </c>
      <c r="D25" s="31" t="n">
        <f aca="false">AVERAGE(D15:D24)</f>
        <v>110.8</v>
      </c>
      <c r="E25" s="31" t="n">
        <f aca="false">AVERAGE(E15:E24)</f>
        <v>678.8</v>
      </c>
      <c r="F25" s="31" t="n">
        <f aca="false">AVERAGE(F15:F24)</f>
        <v>840.4</v>
      </c>
      <c r="G25" s="31" t="n">
        <f aca="false">AVERAGE(G15:G24)</f>
        <v>1669.7</v>
      </c>
      <c r="H25" s="31" t="n">
        <f aca="false">AVERAGE(H15:H24)</f>
        <v>1043.8</v>
      </c>
      <c r="I25" s="32" t="n">
        <f aca="false">AVERAGE(I15:I24)</f>
        <v>1.43311476526879</v>
      </c>
      <c r="J25" s="33" t="n">
        <f aca="false">AVERAGE(J15:J24)</f>
        <v>0.163928747678808</v>
      </c>
      <c r="K25" s="33" t="n">
        <f aca="false">AVERAGE(K15:K24)</f>
        <v>0.0655757692441821</v>
      </c>
      <c r="L25" s="34" t="n">
        <f aca="false">AVERAGE(L15:L24)</f>
        <v>7.32058202452258</v>
      </c>
      <c r="M25" s="33" t="n">
        <f aca="false">AVERAGE(M15:M24)</f>
        <v>0.195567496804492</v>
      </c>
      <c r="N25" s="33" t="n">
        <f aca="false">AVERAGE(N15:N24)</f>
        <v>0.63298045388299</v>
      </c>
      <c r="O25" s="32" t="n">
        <f aca="false">AVERAGE(O15:O24)</f>
        <v>20.138</v>
      </c>
    </row>
    <row r="27" customFormat="false" ht="15" hidden="false" customHeight="false" outlineLevel="0" collapsed="false">
      <c r="A27" s="35" t="s">
        <v>88</v>
      </c>
      <c r="I27" s="36" t="n">
        <f aca="false">STDEV(I15:I24)</f>
        <v>0.514866843330785</v>
      </c>
      <c r="J27" s="37" t="n">
        <f aca="false">STDEV(J15:J24)</f>
        <v>0.0877900972098055</v>
      </c>
      <c r="K27" s="37" t="n">
        <f aca="false">STDEV(K15:K24)</f>
        <v>0.0433540369515767</v>
      </c>
      <c r="O27" s="36" t="n">
        <f aca="false">STDEV(O15:O24)</f>
        <v>16.0766433754756</v>
      </c>
    </row>
  </sheetData>
  <mergeCells count="10">
    <mergeCell ref="A1:P1"/>
    <mergeCell ref="B3:F3"/>
    <mergeCell ref="B4:F4"/>
    <mergeCell ref="B5:F5"/>
    <mergeCell ref="B6:F6"/>
    <mergeCell ref="B7:F7"/>
    <mergeCell ref="B8:F8"/>
    <mergeCell ref="B9:F9"/>
    <mergeCell ref="B10:F10"/>
    <mergeCell ref="B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P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
    <col collapsed="false" customWidth="true" hidden="false" outlineLevel="0" max="3" min="3" style="0" width="10"/>
    <col collapsed="false" customWidth="true" hidden="false" outlineLevel="0" max="4" min="4" style="0" width="11"/>
    <col collapsed="false" customWidth="true" hidden="false" outlineLevel="0" max="5" min="5" style="0" width="12"/>
    <col collapsed="false" customWidth="true" hidden="false" outlineLevel="0" max="6" min="6" style="0" width="11"/>
    <col collapsed="false" customWidth="true" hidden="false" outlineLevel="0" max="7" min="7" style="0" width="12"/>
    <col collapsed="false" customWidth="true" hidden="false" outlineLevel="0" max="8" min="8" style="0" width="11"/>
    <col collapsed="false" customWidth="true" hidden="false" outlineLevel="0" max="11" min="9" style="0" width="9"/>
    <col collapsed="false" customWidth="true" hidden="false" outlineLevel="0" max="12" min="12" style="0" width="11"/>
    <col collapsed="false" customWidth="true" hidden="false" outlineLevel="0" max="13" min="13" style="0" width="12"/>
    <col collapsed="false" customWidth="true" hidden="false" outlineLevel="0" max="14" min="14" style="0" width="11"/>
    <col collapsed="false" customWidth="true" hidden="false" outlineLevel="0" max="15" min="15" style="0" width="10"/>
  </cols>
  <sheetData>
    <row r="1" customFormat="false" ht="30" hidden="false" customHeight="true" outlineLevel="0" collapsed="false">
      <c r="A1" s="18" t="s">
        <v>47</v>
      </c>
      <c r="B1" s="18"/>
      <c r="C1" s="18"/>
      <c r="D1" s="18"/>
      <c r="E1" s="18"/>
      <c r="F1" s="18"/>
      <c r="G1" s="18"/>
      <c r="H1" s="18"/>
      <c r="I1" s="18"/>
      <c r="J1" s="18"/>
      <c r="K1" s="18"/>
      <c r="L1" s="18"/>
      <c r="M1" s="18"/>
      <c r="N1" s="18"/>
      <c r="O1" s="18"/>
      <c r="P1" s="18"/>
    </row>
    <row r="3" customFormat="false" ht="18" hidden="false" customHeight="true" outlineLevel="0" collapsed="false">
      <c r="A3" s="19" t="s">
        <v>50</v>
      </c>
      <c r="B3" s="20" t="s">
        <v>128</v>
      </c>
      <c r="C3" s="20"/>
      <c r="D3" s="20"/>
      <c r="E3" s="20"/>
      <c r="F3" s="20"/>
    </row>
    <row r="4" customFormat="false" ht="18" hidden="false" customHeight="true" outlineLevel="0" collapsed="false">
      <c r="A4" s="19" t="s">
        <v>28</v>
      </c>
      <c r="B4" s="20" t="s">
        <v>40</v>
      </c>
      <c r="C4" s="20"/>
      <c r="D4" s="20"/>
      <c r="E4" s="20"/>
      <c r="F4" s="20"/>
    </row>
    <row r="5" customFormat="false" ht="18" hidden="false" customHeight="true" outlineLevel="0" collapsed="false">
      <c r="A5" s="19" t="s">
        <v>52</v>
      </c>
      <c r="B5" s="20" t="s">
        <v>129</v>
      </c>
      <c r="C5" s="20"/>
      <c r="D5" s="20"/>
      <c r="E5" s="20"/>
      <c r="F5" s="20"/>
    </row>
    <row r="6" customFormat="false" ht="18" hidden="false" customHeight="true" outlineLevel="0" collapsed="false">
      <c r="A6" s="19" t="s">
        <v>54</v>
      </c>
      <c r="B6" s="20" t="s">
        <v>130</v>
      </c>
      <c r="C6" s="20"/>
      <c r="D6" s="20"/>
      <c r="E6" s="20"/>
      <c r="F6" s="20"/>
    </row>
    <row r="7" customFormat="false" ht="18" hidden="false" customHeight="true" outlineLevel="0" collapsed="false">
      <c r="A7" s="19" t="s">
        <v>56</v>
      </c>
      <c r="B7" s="20" t="s">
        <v>131</v>
      </c>
      <c r="C7" s="20"/>
      <c r="D7" s="20"/>
      <c r="E7" s="20"/>
      <c r="F7" s="20"/>
    </row>
    <row r="8" customFormat="false" ht="18" hidden="false" customHeight="true" outlineLevel="0" collapsed="false">
      <c r="A8" s="19" t="s">
        <v>58</v>
      </c>
      <c r="B8" s="20" t="s">
        <v>132</v>
      </c>
      <c r="C8" s="20"/>
      <c r="D8" s="20"/>
      <c r="E8" s="20"/>
      <c r="F8" s="20"/>
    </row>
    <row r="9" customFormat="false" ht="18" hidden="false" customHeight="true" outlineLevel="0" collapsed="false">
      <c r="A9" s="19" t="s">
        <v>60</v>
      </c>
      <c r="B9" s="20" t="s">
        <v>133</v>
      </c>
      <c r="C9" s="20"/>
      <c r="D9" s="20"/>
      <c r="E9" s="20"/>
      <c r="F9" s="20"/>
    </row>
    <row r="10" customFormat="false" ht="18" hidden="false" customHeight="true" outlineLevel="0" collapsed="false">
      <c r="A10" s="19" t="s">
        <v>62</v>
      </c>
      <c r="B10" s="20" t="s">
        <v>101</v>
      </c>
      <c r="C10" s="20"/>
      <c r="D10" s="20"/>
      <c r="E10" s="20"/>
      <c r="F10" s="20"/>
    </row>
    <row r="11" customFormat="false" ht="15" hidden="false" customHeight="true" outlineLevel="0" collapsed="false">
      <c r="A11" s="19" t="s">
        <v>64</v>
      </c>
      <c r="B11" s="20"/>
      <c r="C11" s="20"/>
      <c r="D11" s="20"/>
      <c r="E11" s="20"/>
      <c r="F11" s="20"/>
    </row>
    <row r="13" customFormat="false" ht="15" hidden="false" customHeight="false" outlineLevel="0" collapsed="false">
      <c r="A13" s="21" t="s">
        <v>66</v>
      </c>
    </row>
    <row r="14" customFormat="false" ht="23.85" hidden="false" customHeight="false" outlineLevel="0" collapsed="false">
      <c r="A14" s="11" t="s">
        <v>67</v>
      </c>
      <c r="B14" s="11" t="s">
        <v>30</v>
      </c>
      <c r="C14" s="11" t="s">
        <v>68</v>
      </c>
      <c r="D14" s="11" t="s">
        <v>32</v>
      </c>
      <c r="E14" s="11" t="s">
        <v>69</v>
      </c>
      <c r="F14" s="11" t="s">
        <v>35</v>
      </c>
      <c r="G14" s="11" t="s">
        <v>36</v>
      </c>
      <c r="H14" s="11" t="s">
        <v>70</v>
      </c>
      <c r="I14" s="11" t="s">
        <v>71</v>
      </c>
      <c r="J14" s="11" t="s">
        <v>72</v>
      </c>
      <c r="K14" s="11" t="s">
        <v>73</v>
      </c>
      <c r="L14" s="11" t="s">
        <v>74</v>
      </c>
      <c r="M14" s="11" t="s">
        <v>75</v>
      </c>
      <c r="N14" s="11" t="s">
        <v>76</v>
      </c>
      <c r="O14" s="11" t="s">
        <v>38</v>
      </c>
    </row>
    <row r="15" customFormat="false" ht="15" hidden="false" customHeight="false" outlineLevel="0" collapsed="false">
      <c r="A15" s="12" t="s">
        <v>77</v>
      </c>
      <c r="B15" s="22" t="n">
        <f aca="false">'Raw Data'!D83</f>
        <v>2074</v>
      </c>
      <c r="C15" s="22" t="n">
        <f aca="false">'Raw Data'!E83</f>
        <v>263</v>
      </c>
      <c r="D15" s="22" t="n">
        <f aca="false">'Raw Data'!F83</f>
        <v>143</v>
      </c>
      <c r="E15" s="22" t="n">
        <f aca="false">'Raw Data'!G83+'Raw Data'!H83</f>
        <v>683</v>
      </c>
      <c r="F15" s="22" t="n">
        <f aca="false">'Raw Data'!I83</f>
        <v>804</v>
      </c>
      <c r="G15" s="22" t="n">
        <f aca="false">'Raw Data'!J83</f>
        <v>1675</v>
      </c>
      <c r="H15" s="22" t="n">
        <f aca="false">'Raw Data'!K83</f>
        <v>877</v>
      </c>
      <c r="I15" s="23" t="n">
        <f aca="false">F15/E15</f>
        <v>1.17715959004392</v>
      </c>
      <c r="J15" s="24" t="n">
        <f aca="false">D15/E15</f>
        <v>0.209370424597365</v>
      </c>
      <c r="K15" s="24" t="n">
        <f aca="false">D15/G15</f>
        <v>0.0853731343283582</v>
      </c>
      <c r="L15" s="25" t="n">
        <f aca="false">LN(G15)</f>
        <v>7.42356844425917</v>
      </c>
      <c r="M15" s="24" t="n">
        <f aca="false">(B15-'Raw Data'!D82)/'Raw Data'!D82</f>
        <v>0.110873058382432</v>
      </c>
      <c r="N15" s="24" t="n">
        <f aca="false">H15/G15</f>
        <v>0.523582089552239</v>
      </c>
      <c r="O15" s="23" t="n">
        <f aca="false">'Raw Data'!L83</f>
        <v>8.76</v>
      </c>
    </row>
    <row r="16" customFormat="false" ht="15" hidden="false" customHeight="false" outlineLevel="0" collapsed="false">
      <c r="A16" s="15" t="s">
        <v>78</v>
      </c>
      <c r="B16" s="26" t="n">
        <f aca="false">'Raw Data'!D84</f>
        <v>2249</v>
      </c>
      <c r="C16" s="26" t="n">
        <f aca="false">'Raw Data'!E84</f>
        <v>282</v>
      </c>
      <c r="D16" s="26" t="n">
        <f aca="false">'Raw Data'!F84</f>
        <v>158</v>
      </c>
      <c r="E16" s="26" t="n">
        <f aca="false">'Raw Data'!G84+'Raw Data'!H84</f>
        <v>816</v>
      </c>
      <c r="F16" s="26" t="n">
        <f aca="false">'Raw Data'!I84</f>
        <v>1036</v>
      </c>
      <c r="G16" s="26" t="n">
        <f aca="false">'Raw Data'!J84</f>
        <v>2045</v>
      </c>
      <c r="H16" s="26" t="n">
        <f aca="false">'Raw Data'!K84</f>
        <v>1139</v>
      </c>
      <c r="I16" s="27" t="n">
        <f aca="false">F16/E16</f>
        <v>1.26960784313725</v>
      </c>
      <c r="J16" s="28" t="n">
        <f aca="false">D16/E16</f>
        <v>0.193627450980392</v>
      </c>
      <c r="K16" s="28" t="n">
        <f aca="false">D16/G16</f>
        <v>0.0772616136919316</v>
      </c>
      <c r="L16" s="29" t="n">
        <f aca="false">LN(G16)</f>
        <v>7.6231530684769</v>
      </c>
      <c r="M16" s="28" t="n">
        <f aca="false">(B16-'Raw Data'!D83)/'Raw Data'!D83</f>
        <v>0.0843780135004822</v>
      </c>
      <c r="N16" s="28" t="n">
        <f aca="false">H16/G16</f>
        <v>0.556968215158924</v>
      </c>
      <c r="O16" s="27" t="n">
        <f aca="false">'Raw Data'!L84</f>
        <v>9.64</v>
      </c>
    </row>
    <row r="17" customFormat="false" ht="15" hidden="false" customHeight="false" outlineLevel="0" collapsed="false">
      <c r="A17" s="12" t="s">
        <v>79</v>
      </c>
      <c r="B17" s="22" t="n">
        <f aca="false">'Raw Data'!D85</f>
        <v>2453</v>
      </c>
      <c r="C17" s="22" t="n">
        <f aca="false">'Raw Data'!E85</f>
        <v>247</v>
      </c>
      <c r="D17" s="22" t="n">
        <f aca="false">'Raw Data'!F85</f>
        <v>113</v>
      </c>
      <c r="E17" s="22" t="n">
        <f aca="false">'Raw Data'!G85+'Raw Data'!H85</f>
        <v>906</v>
      </c>
      <c r="F17" s="22" t="n">
        <f aca="false">'Raw Data'!I85</f>
        <v>1047</v>
      </c>
      <c r="G17" s="22" t="n">
        <f aca="false">'Raw Data'!J85</f>
        <v>2182</v>
      </c>
      <c r="H17" s="22" t="n">
        <f aca="false">'Raw Data'!K85</f>
        <v>1119</v>
      </c>
      <c r="I17" s="23" t="n">
        <f aca="false">F17/E17</f>
        <v>1.15562913907285</v>
      </c>
      <c r="J17" s="24" t="n">
        <f aca="false">D17/E17</f>
        <v>0.124724061810155</v>
      </c>
      <c r="K17" s="24" t="n">
        <f aca="false">D17/G17</f>
        <v>0.0517873510540788</v>
      </c>
      <c r="L17" s="25" t="n">
        <f aca="false">LN(G17)</f>
        <v>7.68799716639302</v>
      </c>
      <c r="M17" s="24" t="n">
        <f aca="false">(B17-'Raw Data'!D84)/'Raw Data'!D84</f>
        <v>0.0907069808803913</v>
      </c>
      <c r="N17" s="24" t="n">
        <f aca="false">H17/G17</f>
        <v>0.512832263978002</v>
      </c>
      <c r="O17" s="23" t="n">
        <f aca="false">'Raw Data'!L85</f>
        <v>6.91</v>
      </c>
    </row>
    <row r="18" customFormat="false" ht="15" hidden="false" customHeight="false" outlineLevel="0" collapsed="false">
      <c r="A18" s="15" t="s">
        <v>80</v>
      </c>
      <c r="B18" s="26" t="n">
        <f aca="false">'Raw Data'!D86</f>
        <v>2562</v>
      </c>
      <c r="C18" s="26" t="n">
        <f aca="false">'Raw Data'!E86</f>
        <v>219</v>
      </c>
      <c r="D18" s="26" t="n">
        <f aca="false">'Raw Data'!F86</f>
        <v>66</v>
      </c>
      <c r="E18" s="26" t="n">
        <f aca="false">'Raw Data'!G86+'Raw Data'!H86</f>
        <v>946</v>
      </c>
      <c r="F18" s="26" t="n">
        <f aca="false">'Raw Data'!I86</f>
        <v>923</v>
      </c>
      <c r="G18" s="26" t="n">
        <f aca="false">'Raw Data'!J86</f>
        <v>2131</v>
      </c>
      <c r="H18" s="26" t="n">
        <f aca="false">'Raw Data'!K86</f>
        <v>1074</v>
      </c>
      <c r="I18" s="27" t="n">
        <f aca="false">F18/E18</f>
        <v>0.97568710359408</v>
      </c>
      <c r="J18" s="28" t="n">
        <f aca="false">D18/E18</f>
        <v>0.0697674418604651</v>
      </c>
      <c r="K18" s="28" t="n">
        <f aca="false">D18/G18</f>
        <v>0.0309713749413421</v>
      </c>
      <c r="L18" s="29" t="n">
        <f aca="false">LN(G18)</f>
        <v>7.66434663209862</v>
      </c>
      <c r="M18" s="28" t="n">
        <f aca="false">(B18-'Raw Data'!D85)/'Raw Data'!D85</f>
        <v>0.0444353852425601</v>
      </c>
      <c r="N18" s="28" t="n">
        <f aca="false">H18/G18</f>
        <v>0.50398873768184</v>
      </c>
      <c r="O18" s="27" t="n">
        <f aca="false">'Raw Data'!L86</f>
        <v>4.01</v>
      </c>
    </row>
    <row r="19" customFormat="false" ht="15" hidden="false" customHeight="false" outlineLevel="0" collapsed="false">
      <c r="A19" s="12" t="s">
        <v>81</v>
      </c>
      <c r="B19" s="22" t="n">
        <f aca="false">'Raw Data'!D87</f>
        <v>2379</v>
      </c>
      <c r="C19" s="22" t="n">
        <f aca="false">'Raw Data'!E87</f>
        <v>178</v>
      </c>
      <c r="D19" s="22" t="n">
        <f aca="false">'Raw Data'!F87</f>
        <v>36</v>
      </c>
      <c r="E19" s="22" t="n">
        <f aca="false">'Raw Data'!G87+'Raw Data'!H87</f>
        <v>971</v>
      </c>
      <c r="F19" s="22" t="n">
        <f aca="false">'Raw Data'!I87</f>
        <v>868</v>
      </c>
      <c r="G19" s="22" t="n">
        <f aca="false">'Raw Data'!J87</f>
        <v>2118</v>
      </c>
      <c r="H19" s="22" t="n">
        <f aca="false">'Raw Data'!K87</f>
        <v>1210</v>
      </c>
      <c r="I19" s="23" t="n">
        <f aca="false">F19/E19</f>
        <v>0.893923789907312</v>
      </c>
      <c r="J19" s="24" t="n">
        <f aca="false">D19/E19</f>
        <v>0.0370751802265705</v>
      </c>
      <c r="K19" s="24" t="n">
        <f aca="false">D19/G19</f>
        <v>0.0169971671388102</v>
      </c>
      <c r="L19" s="25" t="n">
        <f aca="false">LN(G19)</f>
        <v>7.65822752616135</v>
      </c>
      <c r="M19" s="24" t="n">
        <f aca="false">(B19-'Raw Data'!D86)/'Raw Data'!D86</f>
        <v>-0.0714285714285714</v>
      </c>
      <c r="N19" s="24" t="n">
        <f aca="false">H19/G19</f>
        <v>0.571293673276676</v>
      </c>
      <c r="O19" s="23" t="n">
        <f aca="false">'Raw Data'!L87</f>
        <v>2.2</v>
      </c>
    </row>
    <row r="20" customFormat="false" ht="15" hidden="false" customHeight="false" outlineLevel="0" collapsed="false">
      <c r="A20" s="15" t="s">
        <v>82</v>
      </c>
      <c r="B20" s="26" t="n">
        <f aca="false">'Raw Data'!D88</f>
        <v>1861</v>
      </c>
      <c r="C20" s="26" t="n">
        <f aca="false">'Raw Data'!E88</f>
        <v>115</v>
      </c>
      <c r="D20" s="26" t="n">
        <f aca="false">'Raw Data'!F88</f>
        <v>10</v>
      </c>
      <c r="E20" s="26" t="n">
        <f aca="false">'Raw Data'!G88+'Raw Data'!H88</f>
        <v>980</v>
      </c>
      <c r="F20" s="26" t="n">
        <f aca="false">'Raw Data'!I88</f>
        <v>901</v>
      </c>
      <c r="G20" s="26" t="n">
        <f aca="false">'Raw Data'!J88</f>
        <v>2149</v>
      </c>
      <c r="H20" s="26" t="n">
        <f aca="false">'Raw Data'!K88</f>
        <v>1231</v>
      </c>
      <c r="I20" s="27" t="n">
        <f aca="false">F20/E20</f>
        <v>0.919387755102041</v>
      </c>
      <c r="J20" s="28" t="n">
        <f aca="false">D20/E20</f>
        <v>0.0102040816326531</v>
      </c>
      <c r="K20" s="28" t="n">
        <f aca="false">D20/G20</f>
        <v>0.00465332712889716</v>
      </c>
      <c r="L20" s="29" t="n">
        <f aca="false">LN(G20)</f>
        <v>7.67275789664251</v>
      </c>
      <c r="M20" s="28" t="n">
        <f aca="false">(B20-'Raw Data'!D87)/'Raw Data'!D87</f>
        <v>-0.217738545607398</v>
      </c>
      <c r="N20" s="28" t="n">
        <f aca="false">H20/G20</f>
        <v>0.572824569567241</v>
      </c>
      <c r="O20" s="27" t="n">
        <f aca="false">'Raw Data'!L88</f>
        <v>0.58</v>
      </c>
    </row>
    <row r="21" customFormat="false" ht="15" hidden="false" customHeight="false" outlineLevel="0" collapsed="false">
      <c r="A21" s="12" t="s">
        <v>83</v>
      </c>
      <c r="B21" s="22" t="n">
        <f aca="false">'Raw Data'!D89</f>
        <v>3042</v>
      </c>
      <c r="C21" s="22" t="n">
        <f aca="false">'Raw Data'!E89</f>
        <v>387</v>
      </c>
      <c r="D21" s="22" t="n">
        <f aca="false">'Raw Data'!F89</f>
        <v>156</v>
      </c>
      <c r="E21" s="22" t="n">
        <f aca="false">'Raw Data'!G89+'Raw Data'!H89</f>
        <v>1130</v>
      </c>
      <c r="F21" s="22" t="n">
        <f aca="false">'Raw Data'!I89</f>
        <v>938</v>
      </c>
      <c r="G21" s="22" t="n">
        <f aca="false">'Raw Data'!J89</f>
        <v>2442</v>
      </c>
      <c r="H21" s="22" t="n">
        <f aca="false">'Raw Data'!K89</f>
        <v>1187</v>
      </c>
      <c r="I21" s="23" t="n">
        <f aca="false">F21/E21</f>
        <v>0.830088495575221</v>
      </c>
      <c r="J21" s="24" t="n">
        <f aca="false">D21/E21</f>
        <v>0.138053097345133</v>
      </c>
      <c r="K21" s="24" t="n">
        <f aca="false">D21/G21</f>
        <v>0.0638820638820639</v>
      </c>
      <c r="L21" s="25" t="n">
        <f aca="false">LN(G21)</f>
        <v>7.80057265467065</v>
      </c>
      <c r="M21" s="24" t="n">
        <f aca="false">(B21-'Raw Data'!D88)/'Raw Data'!D88</f>
        <v>0.634605051047824</v>
      </c>
      <c r="N21" s="24" t="n">
        <f aca="false">H21/G21</f>
        <v>0.486076986076986</v>
      </c>
      <c r="O21" s="23" t="n">
        <f aca="false">'Raw Data'!L89</f>
        <v>9.5</v>
      </c>
    </row>
    <row r="22" customFormat="false" ht="15" hidden="false" customHeight="false" outlineLevel="0" collapsed="false">
      <c r="A22" s="15" t="s">
        <v>84</v>
      </c>
      <c r="B22" s="26" t="n">
        <f aca="false">'Raw Data'!D90</f>
        <v>3039</v>
      </c>
      <c r="C22" s="26" t="n">
        <f aca="false">'Raw Data'!E90</f>
        <v>264</v>
      </c>
      <c r="D22" s="26" t="n">
        <f aca="false">'Raw Data'!F90</f>
        <v>23</v>
      </c>
      <c r="E22" s="26" t="n">
        <f aca="false">'Raw Data'!G90+'Raw Data'!H90</f>
        <v>1123</v>
      </c>
      <c r="F22" s="26" t="n">
        <f aca="false">'Raw Data'!I90</f>
        <v>933</v>
      </c>
      <c r="G22" s="26" t="n">
        <f aca="false">'Raw Data'!J90</f>
        <v>2421</v>
      </c>
      <c r="H22" s="26" t="n">
        <f aca="false">'Raw Data'!K90</f>
        <v>1121</v>
      </c>
      <c r="I22" s="27" t="n">
        <f aca="false">F22/E22</f>
        <v>0.830810329474622</v>
      </c>
      <c r="J22" s="28" t="n">
        <f aca="false">D22/E22</f>
        <v>0.0204808548530721</v>
      </c>
      <c r="K22" s="28" t="n">
        <f aca="false">D22/G22</f>
        <v>0.00950020652622883</v>
      </c>
      <c r="L22" s="29" t="n">
        <f aca="false">LN(G22)</f>
        <v>7.79193595693806</v>
      </c>
      <c r="M22" s="28" t="n">
        <f aca="false">(B22-'Raw Data'!D89)/'Raw Data'!D89</f>
        <v>-0.000986193293885602</v>
      </c>
      <c r="N22" s="28" t="n">
        <f aca="false">H22/G22</f>
        <v>0.46303180503924</v>
      </c>
      <c r="O22" s="27" t="n">
        <f aca="false">'Raw Data'!L90</f>
        <v>1.39</v>
      </c>
    </row>
    <row r="23" customFormat="false" ht="15" hidden="false" customHeight="false" outlineLevel="0" collapsed="false">
      <c r="A23" s="12" t="s">
        <v>85</v>
      </c>
      <c r="B23" s="22" t="n">
        <f aca="false">'Raw Data'!D91</f>
        <v>2672</v>
      </c>
      <c r="C23" s="22" t="n">
        <f aca="false">'Raw Data'!E91</f>
        <v>-29</v>
      </c>
      <c r="D23" s="22" t="n">
        <f aca="false">'Raw Data'!F91</f>
        <v>-135</v>
      </c>
      <c r="E23" s="22" t="n">
        <f aca="false">'Raw Data'!G91+'Raw Data'!H91</f>
        <v>976</v>
      </c>
      <c r="F23" s="22" t="n">
        <f aca="false">'Raw Data'!I91</f>
        <v>826</v>
      </c>
      <c r="G23" s="22" t="n">
        <f aca="false">'Raw Data'!J91</f>
        <v>2097</v>
      </c>
      <c r="H23" s="22" t="n">
        <f aca="false">'Raw Data'!K91</f>
        <v>1063</v>
      </c>
      <c r="I23" s="23" t="n">
        <f aca="false">F23/E23</f>
        <v>0.846311475409836</v>
      </c>
      <c r="J23" s="24" t="n">
        <f aca="false">D23/E23</f>
        <v>-0.138319672131148</v>
      </c>
      <c r="K23" s="24" t="n">
        <f aca="false">D23/G23</f>
        <v>-0.0643776824034335</v>
      </c>
      <c r="L23" s="25" t="n">
        <f aca="false">LN(G23)</f>
        <v>7.64826303090192</v>
      </c>
      <c r="M23" s="24" t="n">
        <f aca="false">(B23-'Raw Data'!D90)/'Raw Data'!D90</f>
        <v>-0.120763409016124</v>
      </c>
      <c r="N23" s="24" t="n">
        <f aca="false">H23/G23</f>
        <v>0.50691463996185</v>
      </c>
      <c r="O23" s="23" t="n">
        <f aca="false">'Raw Data'!L91</f>
        <v>-8.22</v>
      </c>
    </row>
    <row r="24" customFormat="false" ht="15" hidden="false" customHeight="false" outlineLevel="0" collapsed="false">
      <c r="A24" s="15" t="s">
        <v>86</v>
      </c>
      <c r="B24" s="26" t="n">
        <f aca="false">'Raw Data'!D92</f>
        <v>2642</v>
      </c>
      <c r="C24" s="26" t="n">
        <f aca="false">'Raw Data'!E92</f>
        <v>46</v>
      </c>
      <c r="D24" s="26" t="n">
        <f aca="false">'Raw Data'!F92</f>
        <v>-84</v>
      </c>
      <c r="E24" s="26" t="n">
        <f aca="false">'Raw Data'!G92+'Raw Data'!H92</f>
        <v>894</v>
      </c>
      <c r="F24" s="26" t="n">
        <f aca="false">'Raw Data'!I92</f>
        <v>877</v>
      </c>
      <c r="G24" s="26" t="n">
        <f aca="false">'Raw Data'!J92</f>
        <v>2043</v>
      </c>
      <c r="H24" s="26" t="n">
        <f aca="false">'Raw Data'!K92</f>
        <v>1010</v>
      </c>
      <c r="I24" s="27" t="n">
        <f aca="false">F24/E24</f>
        <v>0.980984340044743</v>
      </c>
      <c r="J24" s="28" t="n">
        <f aca="false">D24/E24</f>
        <v>-0.0939597315436242</v>
      </c>
      <c r="K24" s="28" t="n">
        <f aca="false">D24/G24</f>
        <v>-0.0411160058737151</v>
      </c>
      <c r="L24" s="29" t="n">
        <f aca="false">LN(G24)</f>
        <v>7.62217459481762</v>
      </c>
      <c r="M24" s="28" t="n">
        <f aca="false">(B24-'Raw Data'!D91)/'Raw Data'!D91</f>
        <v>-0.0112275449101796</v>
      </c>
      <c r="N24" s="28" t="n">
        <f aca="false">H24/G24</f>
        <v>0.494371023005384</v>
      </c>
      <c r="O24" s="27" t="n">
        <f aca="false">'Raw Data'!L92</f>
        <v>-5.14</v>
      </c>
    </row>
    <row r="25" customFormat="false" ht="15" hidden="false" customHeight="false" outlineLevel="0" collapsed="false">
      <c r="A25" s="30" t="s">
        <v>87</v>
      </c>
      <c r="B25" s="31" t="n">
        <f aca="false">AVERAGE(B15:B24)</f>
        <v>2497.3</v>
      </c>
      <c r="C25" s="31" t="n">
        <f aca="false">AVERAGE(C15:C24)</f>
        <v>197.2</v>
      </c>
      <c r="D25" s="31" t="n">
        <f aca="false">AVERAGE(D15:D24)</f>
        <v>48.6</v>
      </c>
      <c r="E25" s="31" t="n">
        <f aca="false">AVERAGE(E15:E24)</f>
        <v>942.5</v>
      </c>
      <c r="F25" s="31" t="n">
        <f aca="false">AVERAGE(F15:F24)</f>
        <v>915.3</v>
      </c>
      <c r="G25" s="31" t="n">
        <f aca="false">AVERAGE(G15:G24)</f>
        <v>2130.3</v>
      </c>
      <c r="H25" s="31" t="n">
        <f aca="false">AVERAGE(H15:H24)</f>
        <v>1103.1</v>
      </c>
      <c r="I25" s="32" t="n">
        <f aca="false">AVERAGE(I15:I24)</f>
        <v>0.987958986136188</v>
      </c>
      <c r="J25" s="33" t="n">
        <f aca="false">AVERAGE(J15:J24)</f>
        <v>0.0571023189631033</v>
      </c>
      <c r="K25" s="33" t="n">
        <f aca="false">AVERAGE(K15:K24)</f>
        <v>0.0234932550414562</v>
      </c>
      <c r="L25" s="34" t="n">
        <f aca="false">AVERAGE(L15:L24)</f>
        <v>7.65929969713598</v>
      </c>
      <c r="M25" s="33" t="n">
        <f aca="false">AVERAGE(M15:M24)</f>
        <v>0.0542854224797531</v>
      </c>
      <c r="N25" s="33" t="n">
        <f aca="false">AVERAGE(N15:N24)</f>
        <v>0.519188400329838</v>
      </c>
      <c r="O25" s="32" t="n">
        <f aca="false">AVERAGE(O15:O24)</f>
        <v>2.963</v>
      </c>
    </row>
    <row r="27" customFormat="false" ht="15" hidden="false" customHeight="false" outlineLevel="0" collapsed="false">
      <c r="A27" s="35" t="s">
        <v>88</v>
      </c>
      <c r="I27" s="36" t="n">
        <f aca="false">STDEV(I15:I24)</f>
        <v>0.158697095602807</v>
      </c>
      <c r="J27" s="37" t="n">
        <f aca="false">STDEV(J15:J24)</f>
        <v>0.114533829025361</v>
      </c>
      <c r="K27" s="37" t="n">
        <f aca="false">STDEV(K15:K24)</f>
        <v>0.0490991011124855</v>
      </c>
      <c r="O27" s="36" t="n">
        <f aca="false">STDEV(O15:O24)</f>
        <v>6.11962426224937</v>
      </c>
    </row>
  </sheetData>
  <mergeCells count="10">
    <mergeCell ref="A1:P1"/>
    <mergeCell ref="B3:F3"/>
    <mergeCell ref="B4:F4"/>
    <mergeCell ref="B5:F5"/>
    <mergeCell ref="B6:F6"/>
    <mergeCell ref="B7:F7"/>
    <mergeCell ref="B8:F8"/>
    <mergeCell ref="B9:F9"/>
    <mergeCell ref="B10:F10"/>
    <mergeCell ref="B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P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
    <col collapsed="false" customWidth="true" hidden="false" outlineLevel="0" max="3" min="3" style="0" width="10"/>
    <col collapsed="false" customWidth="true" hidden="false" outlineLevel="0" max="4" min="4" style="0" width="11"/>
    <col collapsed="false" customWidth="true" hidden="false" outlineLevel="0" max="5" min="5" style="0" width="12"/>
    <col collapsed="false" customWidth="true" hidden="false" outlineLevel="0" max="6" min="6" style="0" width="11"/>
    <col collapsed="false" customWidth="true" hidden="false" outlineLevel="0" max="7" min="7" style="0" width="12"/>
    <col collapsed="false" customWidth="true" hidden="false" outlineLevel="0" max="8" min="8" style="0" width="11"/>
    <col collapsed="false" customWidth="true" hidden="false" outlineLevel="0" max="11" min="9" style="0" width="9"/>
    <col collapsed="false" customWidth="true" hidden="false" outlineLevel="0" max="12" min="12" style="0" width="11"/>
    <col collapsed="false" customWidth="true" hidden="false" outlineLevel="0" max="13" min="13" style="0" width="12"/>
    <col collapsed="false" customWidth="true" hidden="false" outlineLevel="0" max="14" min="14" style="0" width="11"/>
    <col collapsed="false" customWidth="true" hidden="false" outlineLevel="0" max="15" min="15" style="0" width="10"/>
  </cols>
  <sheetData>
    <row r="1" customFormat="false" ht="30" hidden="false" customHeight="true" outlineLevel="0" collapsed="false">
      <c r="A1" s="18" t="s">
        <v>48</v>
      </c>
      <c r="B1" s="18"/>
      <c r="C1" s="18"/>
      <c r="D1" s="18"/>
      <c r="E1" s="18"/>
      <c r="F1" s="18"/>
      <c r="G1" s="18"/>
      <c r="H1" s="18"/>
      <c r="I1" s="18"/>
      <c r="J1" s="18"/>
      <c r="K1" s="18"/>
      <c r="L1" s="18"/>
      <c r="M1" s="18"/>
      <c r="N1" s="18"/>
      <c r="O1" s="18"/>
      <c r="P1" s="18"/>
    </row>
    <row r="3" customFormat="false" ht="18" hidden="false" customHeight="true" outlineLevel="0" collapsed="false">
      <c r="A3" s="19" t="s">
        <v>50</v>
      </c>
      <c r="B3" s="20" t="s">
        <v>134</v>
      </c>
      <c r="C3" s="20"/>
      <c r="D3" s="20"/>
      <c r="E3" s="20"/>
      <c r="F3" s="20"/>
    </row>
    <row r="4" customFormat="false" ht="18" hidden="false" customHeight="true" outlineLevel="0" collapsed="false">
      <c r="A4" s="19" t="s">
        <v>28</v>
      </c>
      <c r="B4" s="20" t="s">
        <v>40</v>
      </c>
      <c r="C4" s="20"/>
      <c r="D4" s="20"/>
      <c r="E4" s="20"/>
      <c r="F4" s="20"/>
    </row>
    <row r="5" customFormat="false" ht="18" hidden="false" customHeight="true" outlineLevel="0" collapsed="false">
      <c r="A5" s="19" t="s">
        <v>52</v>
      </c>
      <c r="B5" s="20" t="s">
        <v>135</v>
      </c>
      <c r="C5" s="20"/>
      <c r="D5" s="20"/>
      <c r="E5" s="20"/>
      <c r="F5" s="20"/>
    </row>
    <row r="6" customFormat="false" ht="18" hidden="false" customHeight="true" outlineLevel="0" collapsed="false">
      <c r="A6" s="19" t="s">
        <v>54</v>
      </c>
      <c r="B6" s="20" t="s">
        <v>136</v>
      </c>
      <c r="C6" s="20"/>
      <c r="D6" s="20"/>
      <c r="E6" s="20"/>
      <c r="F6" s="20"/>
    </row>
    <row r="7" customFormat="false" ht="18" hidden="false" customHeight="true" outlineLevel="0" collapsed="false">
      <c r="A7" s="19" t="s">
        <v>56</v>
      </c>
      <c r="B7" s="20" t="s">
        <v>137</v>
      </c>
      <c r="C7" s="20"/>
      <c r="D7" s="20"/>
      <c r="E7" s="20"/>
      <c r="F7" s="20"/>
    </row>
    <row r="8" customFormat="false" ht="18" hidden="false" customHeight="true" outlineLevel="0" collapsed="false">
      <c r="A8" s="19" t="s">
        <v>58</v>
      </c>
      <c r="B8" s="20" t="s">
        <v>138</v>
      </c>
      <c r="C8" s="20"/>
      <c r="D8" s="20"/>
      <c r="E8" s="20"/>
      <c r="F8" s="20"/>
    </row>
    <row r="9" customFormat="false" ht="18" hidden="false" customHeight="true" outlineLevel="0" collapsed="false">
      <c r="A9" s="19" t="s">
        <v>60</v>
      </c>
      <c r="B9" s="20" t="s">
        <v>139</v>
      </c>
      <c r="C9" s="20"/>
      <c r="D9" s="20"/>
      <c r="E9" s="20"/>
      <c r="F9" s="20"/>
    </row>
    <row r="10" customFormat="false" ht="18" hidden="false" customHeight="true" outlineLevel="0" collapsed="false">
      <c r="A10" s="19" t="s">
        <v>62</v>
      </c>
      <c r="B10" s="20" t="s">
        <v>101</v>
      </c>
      <c r="C10" s="20"/>
      <c r="D10" s="20"/>
      <c r="E10" s="20"/>
      <c r="F10" s="20"/>
    </row>
    <row r="11" customFormat="false" ht="15" hidden="false" customHeight="true" outlineLevel="0" collapsed="false">
      <c r="A11" s="19" t="s">
        <v>64</v>
      </c>
      <c r="B11" s="20"/>
      <c r="C11" s="20"/>
      <c r="D11" s="20"/>
      <c r="E11" s="20"/>
      <c r="F11" s="20"/>
    </row>
    <row r="13" customFormat="false" ht="15" hidden="false" customHeight="false" outlineLevel="0" collapsed="false">
      <c r="A13" s="21" t="s">
        <v>66</v>
      </c>
    </row>
    <row r="14" customFormat="false" ht="23.85" hidden="false" customHeight="false" outlineLevel="0" collapsed="false">
      <c r="A14" s="11" t="s">
        <v>67</v>
      </c>
      <c r="B14" s="11" t="s">
        <v>30</v>
      </c>
      <c r="C14" s="11" t="s">
        <v>68</v>
      </c>
      <c r="D14" s="11" t="s">
        <v>32</v>
      </c>
      <c r="E14" s="11" t="s">
        <v>69</v>
      </c>
      <c r="F14" s="11" t="s">
        <v>35</v>
      </c>
      <c r="G14" s="11" t="s">
        <v>36</v>
      </c>
      <c r="H14" s="11" t="s">
        <v>70</v>
      </c>
      <c r="I14" s="11" t="s">
        <v>71</v>
      </c>
      <c r="J14" s="11" t="s">
        <v>72</v>
      </c>
      <c r="K14" s="11" t="s">
        <v>73</v>
      </c>
      <c r="L14" s="11" t="s">
        <v>74</v>
      </c>
      <c r="M14" s="11" t="s">
        <v>75</v>
      </c>
      <c r="N14" s="11" t="s">
        <v>76</v>
      </c>
      <c r="O14" s="11" t="s">
        <v>38</v>
      </c>
    </row>
    <row r="15" customFormat="false" ht="15" hidden="false" customHeight="false" outlineLevel="0" collapsed="false">
      <c r="A15" s="12" t="s">
        <v>77</v>
      </c>
      <c r="B15" s="22" t="n">
        <f aca="false">'Raw Data'!D94</f>
        <v>1123</v>
      </c>
      <c r="C15" s="22" t="n">
        <f aca="false">'Raw Data'!E94</f>
        <v>37</v>
      </c>
      <c r="D15" s="22" t="n">
        <f aca="false">'Raw Data'!F94</f>
        <v>61</v>
      </c>
      <c r="E15" s="22" t="n">
        <f aca="false">'Raw Data'!G94+'Raw Data'!H94</f>
        <v>212</v>
      </c>
      <c r="F15" s="22" t="n">
        <f aca="false">'Raw Data'!I94</f>
        <v>343</v>
      </c>
      <c r="G15" s="22" t="n">
        <f aca="false">'Raw Data'!J94</f>
        <v>725</v>
      </c>
      <c r="H15" s="22" t="n">
        <f aca="false">'Raw Data'!K94</f>
        <v>94</v>
      </c>
      <c r="I15" s="23" t="n">
        <f aca="false">F15/E15</f>
        <v>1.61792452830189</v>
      </c>
      <c r="J15" s="24" t="n">
        <f aca="false">D15/E15</f>
        <v>0.287735849056604</v>
      </c>
      <c r="K15" s="24" t="n">
        <f aca="false">D15/G15</f>
        <v>0.0841379310344828</v>
      </c>
      <c r="L15" s="25" t="n">
        <f aca="false">LN(G15)</f>
        <v>6.58617165485468</v>
      </c>
      <c r="M15" s="24" t="n">
        <f aca="false">(B15-'Raw Data'!D93)/'Raw Data'!D93</f>
        <v>0.0495327102803738</v>
      </c>
      <c r="N15" s="24" t="n">
        <f aca="false">H15/G15</f>
        <v>0.129655172413793</v>
      </c>
      <c r="O15" s="23" t="n">
        <f aca="false">'Raw Data'!L94</f>
        <v>17.44</v>
      </c>
    </row>
    <row r="16" customFormat="false" ht="15" hidden="false" customHeight="false" outlineLevel="0" collapsed="false">
      <c r="A16" s="15" t="s">
        <v>78</v>
      </c>
      <c r="B16" s="26" t="n">
        <f aca="false">'Raw Data'!D95</f>
        <v>915</v>
      </c>
      <c r="C16" s="26" t="n">
        <f aca="false">'Raw Data'!E95</f>
        <v>-31</v>
      </c>
      <c r="D16" s="26" t="n">
        <f aca="false">'Raw Data'!F95</f>
        <v>-46</v>
      </c>
      <c r="E16" s="26" t="n">
        <f aca="false">'Raw Data'!G95+'Raw Data'!H95</f>
        <v>165</v>
      </c>
      <c r="F16" s="26" t="n">
        <f aca="false">'Raw Data'!I95</f>
        <v>474</v>
      </c>
      <c r="G16" s="26" t="n">
        <f aca="false">'Raw Data'!J95</f>
        <v>794</v>
      </c>
      <c r="H16" s="26" t="n">
        <f aca="false">'Raw Data'!K95</f>
        <v>95</v>
      </c>
      <c r="I16" s="27" t="n">
        <f aca="false">F16/E16</f>
        <v>2.87272727272727</v>
      </c>
      <c r="J16" s="28" t="n">
        <f aca="false">D16/E16</f>
        <v>-0.278787878787879</v>
      </c>
      <c r="K16" s="28" t="n">
        <f aca="false">D16/G16</f>
        <v>-0.0579345088161209</v>
      </c>
      <c r="L16" s="29" t="n">
        <f aca="false">LN(G16)</f>
        <v>6.67708346124714</v>
      </c>
      <c r="M16" s="28" t="n">
        <f aca="false">(B16-'Raw Data'!D94)/'Raw Data'!D94</f>
        <v>-0.185218165627783</v>
      </c>
      <c r="N16" s="28" t="n">
        <f aca="false">H16/G16</f>
        <v>0.119647355163728</v>
      </c>
      <c r="O16" s="27" t="n">
        <f aca="false">'Raw Data'!L95</f>
        <v>-13.23</v>
      </c>
    </row>
    <row r="17" customFormat="false" ht="15" hidden="false" customHeight="false" outlineLevel="0" collapsed="false">
      <c r="A17" s="12" t="s">
        <v>79</v>
      </c>
      <c r="B17" s="22" t="n">
        <f aca="false">'Raw Data'!D96</f>
        <v>1031</v>
      </c>
      <c r="C17" s="22" t="n">
        <f aca="false">'Raw Data'!E96</f>
        <v>-23</v>
      </c>
      <c r="D17" s="22" t="n">
        <f aca="false">'Raw Data'!F96</f>
        <v>-31</v>
      </c>
      <c r="E17" s="22" t="n">
        <f aca="false">'Raw Data'!G96+'Raw Data'!H96</f>
        <v>130</v>
      </c>
      <c r="F17" s="22" t="n">
        <f aca="false">'Raw Data'!I96</f>
        <v>472</v>
      </c>
      <c r="G17" s="22" t="n">
        <f aca="false">'Raw Data'!J96</f>
        <v>794</v>
      </c>
      <c r="H17" s="22" t="n">
        <f aca="false">'Raw Data'!K96</f>
        <v>95</v>
      </c>
      <c r="I17" s="23" t="n">
        <f aca="false">F17/E17</f>
        <v>3.63076923076923</v>
      </c>
      <c r="J17" s="24" t="n">
        <f aca="false">D17/E17</f>
        <v>-0.238461538461538</v>
      </c>
      <c r="K17" s="24" t="n">
        <f aca="false">D17/G17</f>
        <v>-0.0390428211586902</v>
      </c>
      <c r="L17" s="25" t="n">
        <f aca="false">LN(G17)</f>
        <v>6.67708346124714</v>
      </c>
      <c r="M17" s="24" t="n">
        <f aca="false">(B17-'Raw Data'!D95)/'Raw Data'!D95</f>
        <v>0.126775956284153</v>
      </c>
      <c r="N17" s="24" t="n">
        <f aca="false">H17/G17</f>
        <v>0.119647355163728</v>
      </c>
      <c r="O17" s="23" t="n">
        <f aca="false">'Raw Data'!L96</f>
        <v>-8.83</v>
      </c>
    </row>
    <row r="18" customFormat="false" ht="15" hidden="false" customHeight="false" outlineLevel="0" collapsed="false">
      <c r="A18" s="15" t="s">
        <v>80</v>
      </c>
      <c r="B18" s="26" t="n">
        <f aca="false">'Raw Data'!D97</f>
        <v>1173</v>
      </c>
      <c r="C18" s="26" t="n">
        <f aca="false">'Raw Data'!E97</f>
        <v>62</v>
      </c>
      <c r="D18" s="26" t="n">
        <f aca="false">'Raw Data'!F97</f>
        <v>26</v>
      </c>
      <c r="E18" s="26" t="n">
        <f aca="false">'Raw Data'!G97+'Raw Data'!H97</f>
        <v>239</v>
      </c>
      <c r="F18" s="26" t="n">
        <f aca="false">'Raw Data'!I97</f>
        <v>381</v>
      </c>
      <c r="G18" s="26" t="n">
        <f aca="false">'Raw Data'!J97</f>
        <v>823</v>
      </c>
      <c r="H18" s="26" t="n">
        <f aca="false">'Raw Data'!K97</f>
        <v>108</v>
      </c>
      <c r="I18" s="27" t="n">
        <f aca="false">F18/E18</f>
        <v>1.59414225941423</v>
      </c>
      <c r="J18" s="28" t="n">
        <f aca="false">D18/E18</f>
        <v>0.108786610878661</v>
      </c>
      <c r="K18" s="28" t="n">
        <f aca="false">D18/G18</f>
        <v>0.031591737545565</v>
      </c>
      <c r="L18" s="29" t="n">
        <f aca="false">LN(G18)</f>
        <v>6.71295620067707</v>
      </c>
      <c r="M18" s="28" t="n">
        <f aca="false">(B18-'Raw Data'!D96)/'Raw Data'!D96</f>
        <v>0.137730358874879</v>
      </c>
      <c r="N18" s="28" t="n">
        <f aca="false">H18/G18</f>
        <v>0.131227217496962</v>
      </c>
      <c r="O18" s="27" t="n">
        <f aca="false">'Raw Data'!L97</f>
        <v>5.99</v>
      </c>
    </row>
    <row r="19" customFormat="false" ht="15" hidden="false" customHeight="false" outlineLevel="0" collapsed="false">
      <c r="A19" s="12" t="s">
        <v>81</v>
      </c>
      <c r="B19" s="22" t="n">
        <f aca="false">'Raw Data'!D98</f>
        <v>1368</v>
      </c>
      <c r="C19" s="22" t="n">
        <f aca="false">'Raw Data'!E98</f>
        <v>87</v>
      </c>
      <c r="D19" s="22" t="n">
        <f aca="false">'Raw Data'!F98</f>
        <v>32</v>
      </c>
      <c r="E19" s="22" t="n">
        <f aca="false">'Raw Data'!G98+'Raw Data'!H98</f>
        <v>228</v>
      </c>
      <c r="F19" s="22" t="n">
        <f aca="false">'Raw Data'!I98</f>
        <v>440</v>
      </c>
      <c r="G19" s="22" t="n">
        <f aca="false">'Raw Data'!J98</f>
        <v>939</v>
      </c>
      <c r="H19" s="22" t="n">
        <f aca="false">'Raw Data'!K98</f>
        <v>172</v>
      </c>
      <c r="I19" s="23" t="n">
        <f aca="false">F19/E19</f>
        <v>1.92982456140351</v>
      </c>
      <c r="J19" s="24" t="n">
        <f aca="false">D19/E19</f>
        <v>0.140350877192982</v>
      </c>
      <c r="K19" s="24" t="n">
        <f aca="false">D19/G19</f>
        <v>0.0340788072417465</v>
      </c>
      <c r="L19" s="25" t="n">
        <f aca="false">LN(G19)</f>
        <v>6.84481547920826</v>
      </c>
      <c r="M19" s="24" t="n">
        <f aca="false">(B19-'Raw Data'!D97)/'Raw Data'!D97</f>
        <v>0.166240409207161</v>
      </c>
      <c r="N19" s="24" t="n">
        <f aca="false">H19/G19</f>
        <v>0.183173588924388</v>
      </c>
      <c r="O19" s="23" t="n">
        <f aca="false">'Raw Data'!L98</f>
        <v>7.56</v>
      </c>
    </row>
    <row r="20" customFormat="false" ht="15" hidden="false" customHeight="false" outlineLevel="0" collapsed="false">
      <c r="A20" s="15" t="s">
        <v>82</v>
      </c>
      <c r="B20" s="26" t="n">
        <f aca="false">'Raw Data'!D99</f>
        <v>1209</v>
      </c>
      <c r="C20" s="26" t="n">
        <f aca="false">'Raw Data'!E99</f>
        <v>101</v>
      </c>
      <c r="D20" s="26" t="n">
        <f aca="false">'Raw Data'!F99</f>
        <v>26</v>
      </c>
      <c r="E20" s="26" t="n">
        <f aca="false">'Raw Data'!G99+'Raw Data'!H99</f>
        <v>291</v>
      </c>
      <c r="F20" s="26" t="n">
        <f aca="false">'Raw Data'!I99</f>
        <v>476</v>
      </c>
      <c r="G20" s="26" t="n">
        <f aca="false">'Raw Data'!J99</f>
        <v>1005</v>
      </c>
      <c r="H20" s="26" t="n">
        <f aca="false">'Raw Data'!K99</f>
        <v>235</v>
      </c>
      <c r="I20" s="27" t="n">
        <f aca="false">F20/E20</f>
        <v>1.63573883161512</v>
      </c>
      <c r="J20" s="28" t="n">
        <f aca="false">D20/E20</f>
        <v>0.0893470790378007</v>
      </c>
      <c r="K20" s="28" t="n">
        <f aca="false">D20/G20</f>
        <v>0.0258706467661692</v>
      </c>
      <c r="L20" s="29" t="n">
        <f aca="false">LN(G20)</f>
        <v>6.91274282049318</v>
      </c>
      <c r="M20" s="28" t="n">
        <f aca="false">(B20-'Raw Data'!D98)/'Raw Data'!D98</f>
        <v>-0.116228070175439</v>
      </c>
      <c r="N20" s="28" t="n">
        <f aca="false">H20/G20</f>
        <v>0.233830845771144</v>
      </c>
      <c r="O20" s="27" t="n">
        <f aca="false">'Raw Data'!L99</f>
        <v>6.12</v>
      </c>
    </row>
    <row r="21" customFormat="false" ht="15" hidden="false" customHeight="false" outlineLevel="0" collapsed="false">
      <c r="A21" s="12" t="s">
        <v>83</v>
      </c>
      <c r="B21" s="22" t="n">
        <f aca="false">'Raw Data'!D100</f>
        <v>1789</v>
      </c>
      <c r="C21" s="22" t="n">
        <f aca="false">'Raw Data'!E100</f>
        <v>204</v>
      </c>
      <c r="D21" s="22" t="n">
        <f aca="false">'Raw Data'!F100</f>
        <v>117</v>
      </c>
      <c r="E21" s="22" t="n">
        <f aca="false">'Raw Data'!G100+'Raw Data'!H100</f>
        <v>709</v>
      </c>
      <c r="F21" s="22" t="n">
        <f aca="false">'Raw Data'!I100</f>
        <v>191</v>
      </c>
      <c r="G21" s="22" t="n">
        <f aca="false">'Raw Data'!J100</f>
        <v>1226</v>
      </c>
      <c r="H21" s="22" t="n">
        <f aca="false">'Raw Data'!K100</f>
        <v>282</v>
      </c>
      <c r="I21" s="23" t="n">
        <f aca="false">F21/E21</f>
        <v>0.269393511988717</v>
      </c>
      <c r="J21" s="24" t="n">
        <f aca="false">D21/E21</f>
        <v>0.165021156558533</v>
      </c>
      <c r="K21" s="24" t="n">
        <f aca="false">D21/G21</f>
        <v>0.0954323001631321</v>
      </c>
      <c r="L21" s="25" t="n">
        <f aca="false">LN(G21)</f>
        <v>7.11151211649616</v>
      </c>
      <c r="M21" s="24" t="n">
        <f aca="false">(B21-'Raw Data'!D99)/'Raw Data'!D99</f>
        <v>0.479735318444996</v>
      </c>
      <c r="N21" s="24" t="n">
        <f aca="false">H21/G21</f>
        <v>0.230016313213703</v>
      </c>
      <c r="O21" s="23" t="n">
        <f aca="false">'Raw Data'!L100</f>
        <v>19.79</v>
      </c>
    </row>
    <row r="22" customFormat="false" ht="15" hidden="false" customHeight="false" outlineLevel="0" collapsed="false">
      <c r="A22" s="15" t="s">
        <v>84</v>
      </c>
      <c r="B22" s="26" t="n">
        <f aca="false">'Raw Data'!D101</f>
        <v>2221</v>
      </c>
      <c r="C22" s="26" t="n">
        <f aca="false">'Raw Data'!E101</f>
        <v>269</v>
      </c>
      <c r="D22" s="26" t="n">
        <f aca="false">'Raw Data'!F101</f>
        <v>178</v>
      </c>
      <c r="E22" s="26" t="n">
        <f aca="false">'Raw Data'!G101+'Raw Data'!H101</f>
        <v>893</v>
      </c>
      <c r="F22" s="26" t="n">
        <f aca="false">'Raw Data'!I101</f>
        <v>141</v>
      </c>
      <c r="G22" s="26" t="n">
        <f aca="false">'Raw Data'!J101</f>
        <v>1343</v>
      </c>
      <c r="H22" s="26" t="n">
        <f aca="false">'Raw Data'!K101</f>
        <v>261</v>
      </c>
      <c r="I22" s="27" t="n">
        <f aca="false">F22/E22</f>
        <v>0.157894736842105</v>
      </c>
      <c r="J22" s="28" t="n">
        <f aca="false">D22/E22</f>
        <v>0.1993281075028</v>
      </c>
      <c r="K22" s="28" t="n">
        <f aca="false">D22/G22</f>
        <v>0.132539091586002</v>
      </c>
      <c r="L22" s="29" t="n">
        <f aca="false">LN(G22)</f>
        <v>7.20266119652324</v>
      </c>
      <c r="M22" s="28" t="n">
        <f aca="false">(B22-'Raw Data'!D100)/'Raw Data'!D100</f>
        <v>0.241475684740078</v>
      </c>
      <c r="N22" s="28" t="n">
        <f aca="false">H22/G22</f>
        <v>0.194341027550261</v>
      </c>
      <c r="O22" s="27" t="n">
        <f aca="false">'Raw Data'!L101</f>
        <v>29.45</v>
      </c>
    </row>
    <row r="23" customFormat="false" ht="15" hidden="false" customHeight="false" outlineLevel="0" collapsed="false">
      <c r="A23" s="12" t="s">
        <v>85</v>
      </c>
      <c r="B23" s="22" t="n">
        <f aca="false">'Raw Data'!D102</f>
        <v>2139</v>
      </c>
      <c r="C23" s="22" t="n">
        <f aca="false">'Raw Data'!E102</f>
        <v>255</v>
      </c>
      <c r="D23" s="22" t="n">
        <f aca="false">'Raw Data'!F102</f>
        <v>164</v>
      </c>
      <c r="E23" s="22" t="n">
        <f aca="false">'Raw Data'!G102+'Raw Data'!H102</f>
        <v>1342</v>
      </c>
      <c r="F23" s="22" t="n">
        <f aca="false">'Raw Data'!I102</f>
        <v>254</v>
      </c>
      <c r="G23" s="22" t="n">
        <f aca="false">'Raw Data'!J102</f>
        <v>1955</v>
      </c>
      <c r="H23" s="22" t="n">
        <f aca="false">'Raw Data'!K102</f>
        <v>254</v>
      </c>
      <c r="I23" s="23" t="n">
        <f aca="false">F23/E23</f>
        <v>0.189269746646796</v>
      </c>
      <c r="J23" s="24" t="n">
        <f aca="false">D23/E23</f>
        <v>0.12220566318927</v>
      </c>
      <c r="K23" s="24" t="n">
        <f aca="false">D23/G23</f>
        <v>0.0838874680306905</v>
      </c>
      <c r="L23" s="25" t="n">
        <f aca="false">LN(G23)</f>
        <v>7.57814547241947</v>
      </c>
      <c r="M23" s="24" t="n">
        <f aca="false">(B23-'Raw Data'!D101)/'Raw Data'!D101</f>
        <v>-0.0369203061683926</v>
      </c>
      <c r="N23" s="24" t="n">
        <f aca="false">H23/G23</f>
        <v>0.129923273657289</v>
      </c>
      <c r="O23" s="23" t="n">
        <f aca="false">'Raw Data'!L102</f>
        <v>25.9</v>
      </c>
    </row>
    <row r="24" customFormat="false" ht="15" hidden="false" customHeight="false" outlineLevel="0" collapsed="false">
      <c r="A24" s="15" t="s">
        <v>86</v>
      </c>
      <c r="B24" s="26" t="n">
        <f aca="false">'Raw Data'!D103</f>
        <v>2477</v>
      </c>
      <c r="C24" s="26" t="n">
        <f aca="false">'Raw Data'!E103</f>
        <v>244</v>
      </c>
      <c r="D24" s="26" t="n">
        <f aca="false">'Raw Data'!F103</f>
        <v>191</v>
      </c>
      <c r="E24" s="26" t="n">
        <f aca="false">'Raw Data'!G103+'Raw Data'!H103</f>
        <v>2145</v>
      </c>
      <c r="F24" s="26" t="n">
        <f aca="false">'Raw Data'!I103</f>
        <v>192</v>
      </c>
      <c r="G24" s="26" t="n">
        <f aca="false">'Raw Data'!J103</f>
        <v>2763</v>
      </c>
      <c r="H24" s="26" t="n">
        <f aca="false">'Raw Data'!K103</f>
        <v>272</v>
      </c>
      <c r="I24" s="27" t="n">
        <f aca="false">F24/E24</f>
        <v>0.0895104895104895</v>
      </c>
      <c r="J24" s="28" t="n">
        <f aca="false">D24/E24</f>
        <v>0.089044289044289</v>
      </c>
      <c r="K24" s="28" t="n">
        <f aca="false">D24/G24</f>
        <v>0.0691277596815056</v>
      </c>
      <c r="L24" s="29" t="n">
        <f aca="false">LN(G24)</f>
        <v>7.92407232492342</v>
      </c>
      <c r="M24" s="28" t="n">
        <f aca="false">(B24-'Raw Data'!D102)/'Raw Data'!D102</f>
        <v>0.158017765310893</v>
      </c>
      <c r="N24" s="28" t="n">
        <f aca="false">H24/G24</f>
        <v>0.0984437205935577</v>
      </c>
      <c r="O24" s="27" t="n">
        <f aca="false">'Raw Data'!L103</f>
        <v>26.77</v>
      </c>
    </row>
    <row r="25" customFormat="false" ht="15" hidden="false" customHeight="false" outlineLevel="0" collapsed="false">
      <c r="A25" s="30" t="s">
        <v>87</v>
      </c>
      <c r="B25" s="31" t="n">
        <f aca="false">AVERAGE(B15:B24)</f>
        <v>1544.5</v>
      </c>
      <c r="C25" s="31" t="n">
        <f aca="false">AVERAGE(C15:C24)</f>
        <v>120.5</v>
      </c>
      <c r="D25" s="31" t="n">
        <f aca="false">AVERAGE(D15:D24)</f>
        <v>71.8</v>
      </c>
      <c r="E25" s="31" t="n">
        <f aca="false">AVERAGE(E15:E24)</f>
        <v>635.4</v>
      </c>
      <c r="F25" s="31" t="n">
        <f aca="false">AVERAGE(F15:F24)</f>
        <v>336.4</v>
      </c>
      <c r="G25" s="31" t="n">
        <f aca="false">AVERAGE(G15:G24)</f>
        <v>1236.7</v>
      </c>
      <c r="H25" s="31" t="n">
        <f aca="false">AVERAGE(H15:H24)</f>
        <v>186.8</v>
      </c>
      <c r="I25" s="32" t="n">
        <f aca="false">AVERAGE(I15:I24)</f>
        <v>1.39871951692194</v>
      </c>
      <c r="J25" s="33" t="n">
        <f aca="false">AVERAGE(J15:J24)</f>
        <v>0.0684570215211522</v>
      </c>
      <c r="K25" s="33" t="n">
        <f aca="false">AVERAGE(K15:K24)</f>
        <v>0.0459688412074482</v>
      </c>
      <c r="L25" s="34" t="n">
        <f aca="false">AVERAGE(L15:L24)</f>
        <v>7.02272441880897</v>
      </c>
      <c r="M25" s="33" t="n">
        <f aca="false">AVERAGE(M15:M24)</f>
        <v>0.102114166117092</v>
      </c>
      <c r="N25" s="33" t="n">
        <f aca="false">AVERAGE(N15:N24)</f>
        <v>0.156990586994855</v>
      </c>
      <c r="O25" s="32" t="n">
        <f aca="false">AVERAGE(O15:O24)</f>
        <v>11.696</v>
      </c>
    </row>
    <row r="27" customFormat="false" ht="15" hidden="false" customHeight="false" outlineLevel="0" collapsed="false">
      <c r="A27" s="35" t="s">
        <v>88</v>
      </c>
      <c r="I27" s="36" t="n">
        <f aca="false">STDEV(I15:I24)</f>
        <v>1.22796384234325</v>
      </c>
      <c r="J27" s="37" t="n">
        <f aca="false">STDEV(J15:J24)</f>
        <v>0.182530803978314</v>
      </c>
      <c r="K27" s="37" t="n">
        <f aca="false">STDEV(K15:K24)</f>
        <v>0.0597652626041832</v>
      </c>
      <c r="O27" s="36" t="n">
        <f aca="false">STDEV(O15:O24)</f>
        <v>14.7801249430894</v>
      </c>
    </row>
  </sheetData>
  <mergeCells count="10">
    <mergeCell ref="A1:P1"/>
    <mergeCell ref="B3:F3"/>
    <mergeCell ref="B4:F4"/>
    <mergeCell ref="B5:F5"/>
    <mergeCell ref="B6:F6"/>
    <mergeCell ref="B7:F7"/>
    <mergeCell ref="B8:F8"/>
    <mergeCell ref="B9:F9"/>
    <mergeCell ref="B10:F10"/>
    <mergeCell ref="B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P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
    <col collapsed="false" customWidth="true" hidden="false" outlineLevel="0" max="3" min="3" style="0" width="10"/>
    <col collapsed="false" customWidth="true" hidden="false" outlineLevel="0" max="4" min="4" style="0" width="11"/>
    <col collapsed="false" customWidth="true" hidden="false" outlineLevel="0" max="5" min="5" style="0" width="12"/>
    <col collapsed="false" customWidth="true" hidden="false" outlineLevel="0" max="6" min="6" style="0" width="11"/>
    <col collapsed="false" customWidth="true" hidden="false" outlineLevel="0" max="7" min="7" style="0" width="12"/>
    <col collapsed="false" customWidth="true" hidden="false" outlineLevel="0" max="8" min="8" style="0" width="11"/>
    <col collapsed="false" customWidth="true" hidden="false" outlineLevel="0" max="11" min="9" style="0" width="9"/>
    <col collapsed="false" customWidth="true" hidden="false" outlineLevel="0" max="12" min="12" style="0" width="11"/>
    <col collapsed="false" customWidth="true" hidden="false" outlineLevel="0" max="13" min="13" style="0" width="12"/>
    <col collapsed="false" customWidth="true" hidden="false" outlineLevel="0" max="14" min="14" style="0" width="11"/>
    <col collapsed="false" customWidth="true" hidden="false" outlineLevel="0" max="15" min="15" style="0" width="10"/>
  </cols>
  <sheetData>
    <row r="1" customFormat="false" ht="30" hidden="false" customHeight="true" outlineLevel="0" collapsed="false">
      <c r="A1" s="18" t="s">
        <v>49</v>
      </c>
      <c r="B1" s="18"/>
      <c r="C1" s="18"/>
      <c r="D1" s="18"/>
      <c r="E1" s="18"/>
      <c r="F1" s="18"/>
      <c r="G1" s="18"/>
      <c r="H1" s="18"/>
      <c r="I1" s="18"/>
      <c r="J1" s="18"/>
      <c r="K1" s="18"/>
      <c r="L1" s="18"/>
      <c r="M1" s="18"/>
      <c r="N1" s="18"/>
      <c r="O1" s="18"/>
      <c r="P1" s="18"/>
    </row>
    <row r="3" customFormat="false" ht="18" hidden="false" customHeight="true" outlineLevel="0" collapsed="false">
      <c r="A3" s="19" t="s">
        <v>50</v>
      </c>
      <c r="B3" s="20" t="s">
        <v>140</v>
      </c>
      <c r="C3" s="20"/>
      <c r="D3" s="20"/>
      <c r="E3" s="20"/>
      <c r="F3" s="20"/>
    </row>
    <row r="4" customFormat="false" ht="18" hidden="false" customHeight="true" outlineLevel="0" collapsed="false">
      <c r="A4" s="19" t="s">
        <v>28</v>
      </c>
      <c r="B4" s="20" t="s">
        <v>40</v>
      </c>
      <c r="C4" s="20"/>
      <c r="D4" s="20"/>
      <c r="E4" s="20"/>
      <c r="F4" s="20"/>
    </row>
    <row r="5" customFormat="false" ht="18" hidden="false" customHeight="true" outlineLevel="0" collapsed="false">
      <c r="A5" s="19" t="s">
        <v>52</v>
      </c>
      <c r="B5" s="20" t="s">
        <v>141</v>
      </c>
      <c r="C5" s="20"/>
      <c r="D5" s="20"/>
      <c r="E5" s="20"/>
      <c r="F5" s="20"/>
    </row>
    <row r="6" customFormat="false" ht="18" hidden="false" customHeight="true" outlineLevel="0" collapsed="false">
      <c r="A6" s="19" t="s">
        <v>54</v>
      </c>
      <c r="B6" s="20" t="s">
        <v>142</v>
      </c>
      <c r="C6" s="20"/>
      <c r="D6" s="20"/>
      <c r="E6" s="20"/>
      <c r="F6" s="20"/>
    </row>
    <row r="7" customFormat="false" ht="18" hidden="false" customHeight="true" outlineLevel="0" collapsed="false">
      <c r="A7" s="19" t="s">
        <v>56</v>
      </c>
      <c r="B7" s="20" t="s">
        <v>143</v>
      </c>
      <c r="C7" s="20"/>
      <c r="D7" s="20"/>
      <c r="E7" s="20"/>
      <c r="F7" s="20"/>
    </row>
    <row r="8" customFormat="false" ht="18" hidden="false" customHeight="true" outlineLevel="0" collapsed="false">
      <c r="A8" s="19" t="s">
        <v>58</v>
      </c>
      <c r="B8" s="20" t="s">
        <v>144</v>
      </c>
      <c r="C8" s="20"/>
      <c r="D8" s="20"/>
      <c r="E8" s="20"/>
      <c r="F8" s="20"/>
    </row>
    <row r="9" customFormat="false" ht="18" hidden="false" customHeight="true" outlineLevel="0" collapsed="false">
      <c r="A9" s="19" t="s">
        <v>60</v>
      </c>
      <c r="B9" s="20" t="s">
        <v>145</v>
      </c>
      <c r="C9" s="20"/>
      <c r="D9" s="20"/>
      <c r="E9" s="20"/>
      <c r="F9" s="20"/>
    </row>
    <row r="10" customFormat="false" ht="18" hidden="false" customHeight="true" outlineLevel="0" collapsed="false">
      <c r="A10" s="19" t="s">
        <v>62</v>
      </c>
      <c r="B10" s="20" t="s">
        <v>146</v>
      </c>
      <c r="C10" s="20"/>
      <c r="D10" s="20"/>
      <c r="E10" s="20"/>
      <c r="F10" s="20"/>
    </row>
    <row r="11" customFormat="false" ht="18" hidden="false" customHeight="true" outlineLevel="0" collapsed="false">
      <c r="A11" s="19" t="s">
        <v>64</v>
      </c>
      <c r="B11" s="20" t="s">
        <v>147</v>
      </c>
      <c r="C11" s="20"/>
      <c r="D11" s="20"/>
      <c r="E11" s="20"/>
      <c r="F11" s="20"/>
    </row>
    <row r="13" customFormat="false" ht="15" hidden="false" customHeight="false" outlineLevel="0" collapsed="false">
      <c r="A13" s="21" t="s">
        <v>66</v>
      </c>
    </row>
    <row r="14" customFormat="false" ht="23.85" hidden="false" customHeight="false" outlineLevel="0" collapsed="false">
      <c r="A14" s="11" t="s">
        <v>67</v>
      </c>
      <c r="B14" s="11" t="s">
        <v>30</v>
      </c>
      <c r="C14" s="11" t="s">
        <v>68</v>
      </c>
      <c r="D14" s="11" t="s">
        <v>32</v>
      </c>
      <c r="E14" s="11" t="s">
        <v>69</v>
      </c>
      <c r="F14" s="11" t="s">
        <v>35</v>
      </c>
      <c r="G14" s="11" t="s">
        <v>36</v>
      </c>
      <c r="H14" s="11" t="s">
        <v>70</v>
      </c>
      <c r="I14" s="11" t="s">
        <v>71</v>
      </c>
      <c r="J14" s="11" t="s">
        <v>72</v>
      </c>
      <c r="K14" s="11" t="s">
        <v>73</v>
      </c>
      <c r="L14" s="11" t="s">
        <v>74</v>
      </c>
      <c r="M14" s="11" t="s">
        <v>75</v>
      </c>
      <c r="N14" s="11" t="s">
        <v>76</v>
      </c>
      <c r="O14" s="11" t="s">
        <v>38</v>
      </c>
    </row>
    <row r="15" customFormat="false" ht="15" hidden="false" customHeight="false" outlineLevel="0" collapsed="false">
      <c r="A15" s="12" t="s">
        <v>77</v>
      </c>
      <c r="B15" s="22" t="n">
        <f aca="false">'Raw Data'!D105</f>
        <v>1609</v>
      </c>
      <c r="C15" s="22" t="n">
        <f aca="false">'Raw Data'!E105</f>
        <v>196</v>
      </c>
      <c r="D15" s="22" t="n">
        <f aca="false">'Raw Data'!F105</f>
        <v>84</v>
      </c>
      <c r="E15" s="22" t="n">
        <f aca="false">'Raw Data'!G105+'Raw Data'!H105</f>
        <v>506</v>
      </c>
      <c r="F15" s="22" t="n">
        <f aca="false">'Raw Data'!I105</f>
        <v>408</v>
      </c>
      <c r="G15" s="22" t="n">
        <f aca="false">'Raw Data'!J105</f>
        <v>1195</v>
      </c>
      <c r="H15" s="22" t="n">
        <f aca="false">'Raw Data'!K105</f>
        <v>403</v>
      </c>
      <c r="I15" s="23" t="n">
        <f aca="false">F15/E15</f>
        <v>0.806324110671937</v>
      </c>
      <c r="J15" s="24" t="n">
        <f aca="false">D15/E15</f>
        <v>0.16600790513834</v>
      </c>
      <c r="K15" s="24" t="n">
        <f aca="false">D15/G15</f>
        <v>0.0702928870292887</v>
      </c>
      <c r="L15" s="25" t="n">
        <f aca="false">LN(G15)</f>
        <v>7.08590146436561</v>
      </c>
      <c r="M15" s="24" t="n">
        <f aca="false">(B15-'Raw Data'!D104)/'Raw Data'!D104</f>
        <v>0.0755347593582888</v>
      </c>
      <c r="N15" s="24" t="n">
        <f aca="false">H15/G15</f>
        <v>0.337238493723849</v>
      </c>
      <c r="O15" s="23" t="n">
        <f aca="false">'Raw Data'!L105</f>
        <v>17.93</v>
      </c>
    </row>
    <row r="16" customFormat="false" ht="15" hidden="false" customHeight="false" outlineLevel="0" collapsed="false">
      <c r="A16" s="15" t="s">
        <v>78</v>
      </c>
      <c r="B16" s="26" t="n">
        <f aca="false">'Raw Data'!D106</f>
        <v>1570</v>
      </c>
      <c r="C16" s="26" t="n">
        <f aca="false">'Raw Data'!E106</f>
        <v>197</v>
      </c>
      <c r="D16" s="26" t="n">
        <f aca="false">'Raw Data'!F106</f>
        <v>91</v>
      </c>
      <c r="E16" s="26" t="n">
        <f aca="false">'Raw Data'!G106+'Raw Data'!H106</f>
        <v>596</v>
      </c>
      <c r="F16" s="26" t="n">
        <f aca="false">'Raw Data'!I106</f>
        <v>305</v>
      </c>
      <c r="G16" s="26" t="n">
        <f aca="false">'Raw Data'!J106</f>
        <v>1159</v>
      </c>
      <c r="H16" s="26" t="n">
        <f aca="false">'Raw Data'!K106</f>
        <v>445</v>
      </c>
      <c r="I16" s="27" t="n">
        <f aca="false">F16/E16</f>
        <v>0.511744966442953</v>
      </c>
      <c r="J16" s="28" t="n">
        <f aca="false">D16/E16</f>
        <v>0.152684563758389</v>
      </c>
      <c r="K16" s="28" t="n">
        <f aca="false">D16/G16</f>
        <v>0.0785159620362381</v>
      </c>
      <c r="L16" s="29" t="n">
        <f aca="false">LN(G16)</f>
        <v>7.05531284333975</v>
      </c>
      <c r="M16" s="28" t="n">
        <f aca="false">(B16-'Raw Data'!D105)/'Raw Data'!D105</f>
        <v>-0.0242386575512741</v>
      </c>
      <c r="N16" s="28" t="n">
        <f aca="false">H16/G16</f>
        <v>0.383951682484901</v>
      </c>
      <c r="O16" s="27" t="n">
        <f aca="false">'Raw Data'!L106</f>
        <v>19.41</v>
      </c>
    </row>
    <row r="17" customFormat="false" ht="15" hidden="false" customHeight="false" outlineLevel="0" collapsed="false">
      <c r="A17" s="12" t="s">
        <v>79</v>
      </c>
      <c r="B17" s="22" t="n">
        <f aca="false">'Raw Data'!D107</f>
        <v>1733</v>
      </c>
      <c r="C17" s="22" t="n">
        <f aca="false">'Raw Data'!E107</f>
        <v>246</v>
      </c>
      <c r="D17" s="22" t="n">
        <f aca="false">'Raw Data'!F107</f>
        <v>112</v>
      </c>
      <c r="E17" s="22" t="n">
        <f aca="false">'Raw Data'!G107+'Raw Data'!H107</f>
        <v>678</v>
      </c>
      <c r="F17" s="22" t="n">
        <f aca="false">'Raw Data'!I107</f>
        <v>573</v>
      </c>
      <c r="G17" s="22" t="n">
        <f aca="false">'Raw Data'!J107</f>
        <v>1553</v>
      </c>
      <c r="H17" s="22" t="n">
        <f aca="false">'Raw Data'!K107</f>
        <v>532</v>
      </c>
      <c r="I17" s="23" t="n">
        <f aca="false">F17/E17</f>
        <v>0.845132743362832</v>
      </c>
      <c r="J17" s="24" t="n">
        <f aca="false">D17/E17</f>
        <v>0.165191740412979</v>
      </c>
      <c r="K17" s="24" t="n">
        <f aca="false">D17/G17</f>
        <v>0.0721184803605924</v>
      </c>
      <c r="L17" s="25" t="n">
        <f aca="false">LN(G17)</f>
        <v>7.34794382314869</v>
      </c>
      <c r="M17" s="24" t="n">
        <f aca="false">(B17-'Raw Data'!D106)/'Raw Data'!D106</f>
        <v>0.103821656050955</v>
      </c>
      <c r="N17" s="24" t="n">
        <f aca="false">H17/G17</f>
        <v>0.342562781712814</v>
      </c>
      <c r="O17" s="23" t="n">
        <f aca="false">'Raw Data'!L107</f>
        <v>23.81</v>
      </c>
    </row>
    <row r="18" customFormat="false" ht="15" hidden="false" customHeight="false" outlineLevel="0" collapsed="false">
      <c r="A18" s="15" t="s">
        <v>80</v>
      </c>
      <c r="B18" s="26" t="n">
        <f aca="false">'Raw Data'!D108</f>
        <v>1815</v>
      </c>
      <c r="C18" s="26" t="n">
        <f aca="false">'Raw Data'!E108</f>
        <v>241</v>
      </c>
      <c r="D18" s="26" t="n">
        <f aca="false">'Raw Data'!F108</f>
        <v>101</v>
      </c>
      <c r="E18" s="26" t="n">
        <f aca="false">'Raw Data'!G108+'Raw Data'!H108</f>
        <v>757</v>
      </c>
      <c r="F18" s="26" t="n">
        <f aca="false">'Raw Data'!I108</f>
        <v>444</v>
      </c>
      <c r="G18" s="26" t="n">
        <f aca="false">'Raw Data'!J108</f>
        <v>1505</v>
      </c>
      <c r="H18" s="26" t="n">
        <f aca="false">'Raw Data'!K108</f>
        <v>527</v>
      </c>
      <c r="I18" s="27" t="n">
        <f aca="false">F18/E18</f>
        <v>0.586525759577279</v>
      </c>
      <c r="J18" s="28" t="n">
        <f aca="false">D18/E18</f>
        <v>0.133421400264201</v>
      </c>
      <c r="K18" s="28" t="n">
        <f aca="false">D18/G18</f>
        <v>0.067109634551495</v>
      </c>
      <c r="L18" s="29" t="n">
        <f aca="false">LN(G18)</f>
        <v>7.31654817718298</v>
      </c>
      <c r="M18" s="28" t="n">
        <f aca="false">(B18-'Raw Data'!D107)/'Raw Data'!D107</f>
        <v>0.0473167916907098</v>
      </c>
      <c r="N18" s="28" t="n">
        <f aca="false">H18/G18</f>
        <v>0.350166112956811</v>
      </c>
      <c r="O18" s="27" t="n">
        <f aca="false">'Raw Data'!L108</f>
        <v>21.58</v>
      </c>
    </row>
    <row r="19" customFormat="false" ht="15" hidden="false" customHeight="false" outlineLevel="0" collapsed="false">
      <c r="A19" s="12" t="s">
        <v>81</v>
      </c>
      <c r="B19" s="22" t="n">
        <f aca="false">'Raw Data'!D109</f>
        <v>1698</v>
      </c>
      <c r="C19" s="22" t="n">
        <f aca="false">'Raw Data'!E109</f>
        <v>169</v>
      </c>
      <c r="D19" s="22" t="n">
        <f aca="false">'Raw Data'!F109</f>
        <v>72</v>
      </c>
      <c r="E19" s="22" t="n">
        <f aca="false">'Raw Data'!G109+'Raw Data'!H109</f>
        <v>767</v>
      </c>
      <c r="F19" s="22" t="n">
        <f aca="false">'Raw Data'!I109</f>
        <v>428</v>
      </c>
      <c r="G19" s="22" t="n">
        <f aca="false">'Raw Data'!J109</f>
        <v>1503</v>
      </c>
      <c r="H19" s="22" t="n">
        <f aca="false">'Raw Data'!K109</f>
        <v>552</v>
      </c>
      <c r="I19" s="23" t="n">
        <f aca="false">F19/E19</f>
        <v>0.558018252933507</v>
      </c>
      <c r="J19" s="24" t="n">
        <f aca="false">D19/E19</f>
        <v>0.0938722294654498</v>
      </c>
      <c r="K19" s="24" t="n">
        <f aca="false">D19/G19</f>
        <v>0.0479041916167665</v>
      </c>
      <c r="L19" s="25" t="n">
        <f aca="false">LN(G19)</f>
        <v>7.31521838975298</v>
      </c>
      <c r="M19" s="24" t="n">
        <f aca="false">(B19-'Raw Data'!D108)/'Raw Data'!D108</f>
        <v>-0.0644628099173554</v>
      </c>
      <c r="N19" s="24" t="n">
        <f aca="false">H19/G19</f>
        <v>0.367265469061876</v>
      </c>
      <c r="O19" s="23" t="n">
        <f aca="false">'Raw Data'!L109</f>
        <v>15.3</v>
      </c>
    </row>
    <row r="20" customFormat="false" ht="15" hidden="false" customHeight="false" outlineLevel="0" collapsed="false">
      <c r="A20" s="15" t="s">
        <v>82</v>
      </c>
      <c r="B20" s="26" t="n">
        <f aca="false">'Raw Data'!D110</f>
        <v>1088</v>
      </c>
      <c r="C20" s="26" t="n">
        <f aca="false">'Raw Data'!E110</f>
        <v>55</v>
      </c>
      <c r="D20" s="26" t="n">
        <f aca="false">'Raw Data'!F110</f>
        <v>5</v>
      </c>
      <c r="E20" s="26" t="n">
        <f aca="false">'Raw Data'!G110+'Raw Data'!H110</f>
        <v>774</v>
      </c>
      <c r="F20" s="26" t="n">
        <f aca="false">'Raw Data'!I110</f>
        <v>139</v>
      </c>
      <c r="G20" s="26" t="n">
        <f aca="false">'Raw Data'!J110</f>
        <v>1217</v>
      </c>
      <c r="H20" s="26" t="n">
        <f aca="false">'Raw Data'!K110</f>
        <v>490</v>
      </c>
      <c r="I20" s="27" t="n">
        <f aca="false">F20/E20</f>
        <v>0.179586563307494</v>
      </c>
      <c r="J20" s="28" t="n">
        <f aca="false">D20/E20</f>
        <v>0.00645994832041344</v>
      </c>
      <c r="K20" s="28" t="n">
        <f aca="false">D20/G20</f>
        <v>0.00410846343467543</v>
      </c>
      <c r="L20" s="29" t="n">
        <f aca="false">LN(G20)</f>
        <v>7.10414409298753</v>
      </c>
      <c r="M20" s="28" t="n">
        <f aca="false">(B20-'Raw Data'!D109)/'Raw Data'!D109</f>
        <v>-0.35924617196702</v>
      </c>
      <c r="N20" s="28" t="n">
        <f aca="false">H20/G20</f>
        <v>0.402629416598192</v>
      </c>
      <c r="O20" s="27" t="n">
        <f aca="false">'Raw Data'!L110</f>
        <v>1.14</v>
      </c>
    </row>
    <row r="21" customFormat="false" ht="15" hidden="false" customHeight="false" outlineLevel="0" collapsed="false">
      <c r="A21" s="12" t="s">
        <v>83</v>
      </c>
      <c r="B21" s="22" t="n">
        <f aca="false">'Raw Data'!D111</f>
        <v>1903</v>
      </c>
      <c r="C21" s="22" t="n">
        <f aca="false">'Raw Data'!E111</f>
        <v>334</v>
      </c>
      <c r="D21" s="22" t="n">
        <f aca="false">'Raw Data'!F111</f>
        <v>213</v>
      </c>
      <c r="E21" s="22" t="n">
        <f aca="false">'Raw Data'!G111+'Raw Data'!H111</f>
        <v>937</v>
      </c>
      <c r="F21" s="22" t="n">
        <f aca="false">'Raw Data'!I111</f>
        <v>223</v>
      </c>
      <c r="G21" s="22" t="n">
        <f aca="false">'Raw Data'!J111</f>
        <v>1515</v>
      </c>
      <c r="H21" s="22" t="n">
        <f aca="false">'Raw Data'!K111</f>
        <v>500</v>
      </c>
      <c r="I21" s="23" t="n">
        <f aca="false">F21/E21</f>
        <v>0.237993596584845</v>
      </c>
      <c r="J21" s="24" t="n">
        <f aca="false">D21/E21</f>
        <v>0.227321237993597</v>
      </c>
      <c r="K21" s="24" t="n">
        <f aca="false">D21/G21</f>
        <v>0.140594059405941</v>
      </c>
      <c r="L21" s="25" t="n">
        <f aca="false">LN(G21)</f>
        <v>7.32317071794347</v>
      </c>
      <c r="M21" s="24" t="n">
        <f aca="false">(B21-'Raw Data'!D110)/'Raw Data'!D110</f>
        <v>0.749080882352941</v>
      </c>
      <c r="N21" s="24" t="n">
        <f aca="false">H21/G21</f>
        <v>0.33003300330033</v>
      </c>
      <c r="O21" s="23" t="n">
        <f aca="false">'Raw Data'!L111</f>
        <v>45.34</v>
      </c>
    </row>
    <row r="22" customFormat="false" ht="15" hidden="false" customHeight="false" outlineLevel="0" collapsed="false">
      <c r="A22" s="15" t="s">
        <v>84</v>
      </c>
      <c r="B22" s="26" t="n">
        <f aca="false">'Raw Data'!D112</f>
        <v>2229</v>
      </c>
      <c r="C22" s="26" t="n">
        <f aca="false">'Raw Data'!E112</f>
        <v>369</v>
      </c>
      <c r="D22" s="26" t="n">
        <f aca="false">'Raw Data'!F112</f>
        <v>252</v>
      </c>
      <c r="E22" s="26" t="n">
        <f aca="false">'Raw Data'!G112+'Raw Data'!H112</f>
        <v>1141</v>
      </c>
      <c r="F22" s="26" t="n">
        <f aca="false">'Raw Data'!I112</f>
        <v>163</v>
      </c>
      <c r="G22" s="26" t="n">
        <f aca="false">'Raw Data'!J112</f>
        <v>1640</v>
      </c>
      <c r="H22" s="26" t="n">
        <f aca="false">'Raw Data'!K112</f>
        <v>482</v>
      </c>
      <c r="I22" s="27" t="n">
        <f aca="false">F22/E22</f>
        <v>0.142857142857143</v>
      </c>
      <c r="J22" s="28" t="n">
        <f aca="false">D22/E22</f>
        <v>0.220858895705521</v>
      </c>
      <c r="K22" s="28" t="n">
        <f aca="false">D22/G22</f>
        <v>0.153658536585366</v>
      </c>
      <c r="L22" s="29" t="n">
        <f aca="false">LN(G22)</f>
        <v>7.40245152081824</v>
      </c>
      <c r="M22" s="28" t="n">
        <f aca="false">(B22-'Raw Data'!D111)/'Raw Data'!D111</f>
        <v>0.171308460325801</v>
      </c>
      <c r="N22" s="28" t="n">
        <f aca="false">H22/G22</f>
        <v>0.29390243902439</v>
      </c>
      <c r="O22" s="27" t="n">
        <f aca="false">'Raw Data'!L112</f>
        <v>53.73</v>
      </c>
    </row>
    <row r="23" customFormat="false" ht="15" hidden="false" customHeight="false" outlineLevel="0" collapsed="false">
      <c r="A23" s="12" t="s">
        <v>85</v>
      </c>
      <c r="B23" s="22" t="n">
        <f aca="false">'Raw Data'!D113</f>
        <v>2087</v>
      </c>
      <c r="C23" s="22" t="n">
        <f aca="false">'Raw Data'!E113</f>
        <v>286</v>
      </c>
      <c r="D23" s="22" t="n">
        <f aca="false">'Raw Data'!F113</f>
        <v>185</v>
      </c>
      <c r="E23" s="22" t="n">
        <f aca="false">'Raw Data'!G113+'Raw Data'!H113</f>
        <v>1141</v>
      </c>
      <c r="F23" s="22" t="n">
        <f aca="false">'Raw Data'!I113</f>
        <v>175</v>
      </c>
      <c r="G23" s="22" t="n">
        <f aca="false">'Raw Data'!J113</f>
        <v>1606</v>
      </c>
      <c r="H23" s="22" t="n">
        <f aca="false">'Raw Data'!K113</f>
        <v>493</v>
      </c>
      <c r="I23" s="23" t="n">
        <f aca="false">F23/E23</f>
        <v>0.153374233128834</v>
      </c>
      <c r="J23" s="24" t="n">
        <f aca="false">D23/E23</f>
        <v>0.162138475021911</v>
      </c>
      <c r="K23" s="24" t="n">
        <f aca="false">D23/G23</f>
        <v>0.11519302615193</v>
      </c>
      <c r="L23" s="25" t="n">
        <f aca="false">LN(G23)</f>
        <v>7.38150189450671</v>
      </c>
      <c r="M23" s="24" t="n">
        <f aca="false">(B23-'Raw Data'!D112)/'Raw Data'!D112</f>
        <v>-0.0637056976222521</v>
      </c>
      <c r="N23" s="24" t="n">
        <f aca="false">H23/G23</f>
        <v>0.306973848069739</v>
      </c>
      <c r="O23" s="23" t="n">
        <f aca="false">'Raw Data'!L113</f>
        <v>40.7</v>
      </c>
    </row>
    <row r="24" customFormat="false" ht="15" hidden="false" customHeight="false" outlineLevel="0" collapsed="false">
      <c r="A24" s="15" t="s">
        <v>86</v>
      </c>
      <c r="B24" s="26" t="n">
        <f aca="false">'Raw Data'!D114</f>
        <v>2220</v>
      </c>
      <c r="C24" s="26" t="n">
        <f aca="false">'Raw Data'!E114</f>
        <v>277</v>
      </c>
      <c r="D24" s="26" t="n">
        <f aca="false">'Raw Data'!F114</f>
        <v>199</v>
      </c>
      <c r="E24" s="26" t="n">
        <f aca="false">'Raw Data'!G114+'Raw Data'!H114</f>
        <v>1288</v>
      </c>
      <c r="F24" s="26" t="n">
        <f aca="false">'Raw Data'!I114</f>
        <v>262</v>
      </c>
      <c r="G24" s="26" t="n">
        <f aca="false">'Raw Data'!J114</f>
        <v>1893</v>
      </c>
      <c r="H24" s="26" t="n">
        <f aca="false">'Raw Data'!K114</f>
        <v>592</v>
      </c>
      <c r="I24" s="27" t="n">
        <f aca="false">F24/E24</f>
        <v>0.203416149068323</v>
      </c>
      <c r="J24" s="28" t="n">
        <f aca="false">D24/E24</f>
        <v>0.154503105590062</v>
      </c>
      <c r="K24" s="28" t="n">
        <f aca="false">D24/G24</f>
        <v>0.105124141574221</v>
      </c>
      <c r="L24" s="29" t="n">
        <f aca="false">LN(G24)</f>
        <v>7.54591815120932</v>
      </c>
      <c r="M24" s="28" t="n">
        <f aca="false">(B24-'Raw Data'!D113)/'Raw Data'!D113</f>
        <v>0.0637278390033541</v>
      </c>
      <c r="N24" s="28" t="n">
        <f aca="false">H24/G24</f>
        <v>0.312731114632858</v>
      </c>
      <c r="O24" s="27" t="n">
        <f aca="false">'Raw Data'!L114</f>
        <v>43.8</v>
      </c>
    </row>
    <row r="25" customFormat="false" ht="15" hidden="false" customHeight="false" outlineLevel="0" collapsed="false">
      <c r="A25" s="30" t="s">
        <v>87</v>
      </c>
      <c r="B25" s="31" t="n">
        <f aca="false">AVERAGE(B15:B24)</f>
        <v>1795.2</v>
      </c>
      <c r="C25" s="31" t="n">
        <f aca="false">AVERAGE(C15:C24)</f>
        <v>237</v>
      </c>
      <c r="D25" s="31" t="n">
        <f aca="false">AVERAGE(D15:D24)</f>
        <v>131.4</v>
      </c>
      <c r="E25" s="31" t="n">
        <f aca="false">AVERAGE(E15:E24)</f>
        <v>858.5</v>
      </c>
      <c r="F25" s="31" t="n">
        <f aca="false">AVERAGE(F15:F24)</f>
        <v>312</v>
      </c>
      <c r="G25" s="31" t="n">
        <f aca="false">AVERAGE(G15:G24)</f>
        <v>1478.6</v>
      </c>
      <c r="H25" s="31" t="n">
        <f aca="false">AVERAGE(H15:H24)</f>
        <v>501.6</v>
      </c>
      <c r="I25" s="32" t="n">
        <f aca="false">AVERAGE(I15:I24)</f>
        <v>0.422497351793515</v>
      </c>
      <c r="J25" s="33" t="n">
        <f aca="false">AVERAGE(J15:J24)</f>
        <v>0.148245950167086</v>
      </c>
      <c r="K25" s="33" t="n">
        <f aca="false">AVERAGE(K15:K24)</f>
        <v>0.0854619382746514</v>
      </c>
      <c r="L25" s="34" t="n">
        <f aca="false">AVERAGE(L15:L24)</f>
        <v>7.28781110752553</v>
      </c>
      <c r="M25" s="33" t="n">
        <f aca="false">AVERAGE(M15:M24)</f>
        <v>0.0699137051724149</v>
      </c>
      <c r="N25" s="33" t="n">
        <f aca="false">AVERAGE(N15:N24)</f>
        <v>0.342745436156576</v>
      </c>
      <c r="O25" s="32" t="n">
        <f aca="false">AVERAGE(O15:O24)</f>
        <v>28.274</v>
      </c>
    </row>
    <row r="27" customFormat="false" ht="15" hidden="false" customHeight="false" outlineLevel="0" collapsed="false">
      <c r="A27" s="35" t="s">
        <v>88</v>
      </c>
      <c r="I27" s="36" t="n">
        <f aca="false">STDEV(I15:I24)</f>
        <v>0.273018067097491</v>
      </c>
      <c r="J27" s="37" t="n">
        <f aca="false">STDEV(J15:J24)</f>
        <v>0.0629458166379284</v>
      </c>
      <c r="K27" s="37" t="n">
        <f aca="false">STDEV(K15:K24)</f>
        <v>0.0444510223001363</v>
      </c>
      <c r="O27" s="36" t="n">
        <f aca="false">STDEV(O15:O24)</f>
        <v>16.6319733578965</v>
      </c>
    </row>
  </sheetData>
  <mergeCells count="10">
    <mergeCell ref="A1:P1"/>
    <mergeCell ref="B3:F3"/>
    <mergeCell ref="B4:F4"/>
    <mergeCell ref="B5:F5"/>
    <mergeCell ref="B6:F6"/>
    <mergeCell ref="B7:F7"/>
    <mergeCell ref="B8:F8"/>
    <mergeCell ref="B9:F9"/>
    <mergeCell ref="B10:F10"/>
    <mergeCell ref="B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P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5" min="3" style="0" width="12"/>
    <col collapsed="false" customWidth="true" hidden="false" outlineLevel="0" max="6" min="6" style="0" width="13"/>
    <col collapsed="false" customWidth="true" hidden="false" outlineLevel="0" max="7" min="7" style="0" width="12"/>
    <col collapsed="false" customWidth="true" hidden="false" outlineLevel="0" max="9" min="8" style="0" width="13"/>
    <col collapsed="false" customWidth="true" hidden="false" outlineLevel="0" max="10" min="10" style="0" width="10"/>
    <col collapsed="false" customWidth="true" hidden="false" outlineLevel="0" max="12" min="11" style="0" width="9"/>
    <col collapsed="false" customWidth="true" hidden="false" outlineLevel="0" max="13" min="13" style="0" width="11"/>
    <col collapsed="false" customWidth="true" hidden="false" outlineLevel="0" max="14" min="14" style="0" width="12"/>
    <col collapsed="false" customWidth="true" hidden="false" outlineLevel="0" max="15" min="15" style="0" width="11"/>
    <col collapsed="false" customWidth="true" hidden="false" outlineLevel="0" max="16" min="16" style="0" width="10"/>
  </cols>
  <sheetData>
    <row r="1" customFormat="false" ht="17.35" hidden="false" customHeight="false" outlineLevel="0" collapsed="false">
      <c r="A1" s="9" t="s">
        <v>148</v>
      </c>
      <c r="B1" s="9"/>
      <c r="C1" s="9"/>
      <c r="D1" s="9"/>
      <c r="E1" s="9"/>
      <c r="F1" s="9"/>
      <c r="G1" s="9"/>
      <c r="H1" s="9"/>
      <c r="I1" s="9"/>
      <c r="J1" s="9"/>
      <c r="K1" s="9"/>
      <c r="L1" s="9"/>
      <c r="M1" s="9"/>
      <c r="N1" s="9"/>
      <c r="O1" s="9"/>
      <c r="P1" s="9"/>
    </row>
    <row r="2" customFormat="false" ht="27.75" hidden="false" customHeight="true" outlineLevel="0" collapsed="false">
      <c r="A2" s="10" t="s">
        <v>149</v>
      </c>
      <c r="B2" s="10"/>
      <c r="C2" s="10"/>
      <c r="D2" s="10"/>
      <c r="E2" s="10"/>
      <c r="F2" s="10"/>
      <c r="G2" s="10"/>
      <c r="H2" s="10"/>
      <c r="I2" s="10"/>
      <c r="J2" s="10"/>
      <c r="K2" s="10"/>
      <c r="L2" s="10"/>
      <c r="M2" s="10"/>
      <c r="N2" s="10"/>
      <c r="O2" s="10"/>
      <c r="P2" s="10"/>
    </row>
    <row r="4" customFormat="false" ht="23.85" hidden="false" customHeight="false" outlineLevel="0" collapsed="false">
      <c r="A4" s="11" t="s">
        <v>27</v>
      </c>
      <c r="B4" s="11" t="s">
        <v>67</v>
      </c>
      <c r="C4" s="11" t="s">
        <v>30</v>
      </c>
      <c r="D4" s="11" t="s">
        <v>68</v>
      </c>
      <c r="E4" s="11" t="s">
        <v>32</v>
      </c>
      <c r="F4" s="11" t="s">
        <v>69</v>
      </c>
      <c r="G4" s="11" t="s">
        <v>35</v>
      </c>
      <c r="H4" s="11" t="s">
        <v>36</v>
      </c>
      <c r="I4" s="11" t="s">
        <v>70</v>
      </c>
      <c r="J4" s="11" t="s">
        <v>71</v>
      </c>
      <c r="K4" s="11" t="s">
        <v>72</v>
      </c>
      <c r="L4" s="11" t="s">
        <v>73</v>
      </c>
      <c r="M4" s="11" t="s">
        <v>74</v>
      </c>
      <c r="N4" s="11" t="s">
        <v>75</v>
      </c>
      <c r="O4" s="11" t="s">
        <v>76</v>
      </c>
      <c r="P4" s="11" t="s">
        <v>38</v>
      </c>
    </row>
    <row r="5" customFormat="false" ht="15" hidden="false" customHeight="false" outlineLevel="0" collapsed="false">
      <c r="A5" s="12" t="s">
        <v>39</v>
      </c>
      <c r="B5" s="12" t="s">
        <v>77</v>
      </c>
      <c r="C5" s="22" t="n">
        <f aca="false">'Raw Data'!D6</f>
        <v>1961</v>
      </c>
      <c r="D5" s="22" t="n">
        <f aca="false">'Raw Data'!E6</f>
        <v>356</v>
      </c>
      <c r="E5" s="22" t="n">
        <f aca="false">'Raw Data'!F6</f>
        <v>156</v>
      </c>
      <c r="F5" s="22" t="n">
        <f aca="false">'Raw Data'!G6+'Raw Data'!H6</f>
        <v>981</v>
      </c>
      <c r="G5" s="22" t="n">
        <f aca="false">'Raw Data'!I6</f>
        <v>590</v>
      </c>
      <c r="H5" s="22" t="n">
        <f aca="false">'Raw Data'!J6</f>
        <v>1730</v>
      </c>
      <c r="I5" s="22" t="n">
        <f aca="false">'Raw Data'!K6</f>
        <v>894</v>
      </c>
      <c r="J5" s="23" t="n">
        <f aca="false">G5/F5</f>
        <v>0.601427115188583</v>
      </c>
      <c r="K5" s="24" t="n">
        <f aca="false">E5/F5</f>
        <v>0.159021406727829</v>
      </c>
      <c r="L5" s="24" t="n">
        <f aca="false">E5/H5</f>
        <v>0.0901734104046243</v>
      </c>
      <c r="M5" s="25" t="n">
        <f aca="false">LN(H5)</f>
        <v>7.45587668749182</v>
      </c>
      <c r="N5" s="24" t="n">
        <f aca="false">(C5-'Raw Data'!D5)/'Raw Data'!D5</f>
        <v>-0.0572115384615385</v>
      </c>
      <c r="O5" s="24" t="n">
        <f aca="false">I5/H5</f>
        <v>0.516763005780347</v>
      </c>
      <c r="P5" s="23" t="n">
        <f aca="false">'Raw Data'!L6</f>
        <v>4.14</v>
      </c>
    </row>
    <row r="6" customFormat="false" ht="15" hidden="false" customHeight="false" outlineLevel="0" collapsed="false">
      <c r="A6" s="12" t="s">
        <v>39</v>
      </c>
      <c r="B6" s="12" t="s">
        <v>78</v>
      </c>
      <c r="C6" s="22" t="n">
        <f aca="false">'Raw Data'!D7</f>
        <v>2219</v>
      </c>
      <c r="D6" s="22" t="n">
        <f aca="false">'Raw Data'!E7</f>
        <v>446</v>
      </c>
      <c r="E6" s="22" t="n">
        <f aca="false">'Raw Data'!F7</f>
        <v>238</v>
      </c>
      <c r="F6" s="22" t="n">
        <f aca="false">'Raw Data'!G7+'Raw Data'!H7</f>
        <v>1118</v>
      </c>
      <c r="G6" s="22" t="n">
        <f aca="false">'Raw Data'!I7</f>
        <v>491</v>
      </c>
      <c r="H6" s="22" t="n">
        <f aca="false">'Raw Data'!J7</f>
        <v>1800</v>
      </c>
      <c r="I6" s="22" t="n">
        <f aca="false">'Raw Data'!K7</f>
        <v>918</v>
      </c>
      <c r="J6" s="23" t="n">
        <f aca="false">G6/F6</f>
        <v>0.4391771019678</v>
      </c>
      <c r="K6" s="24" t="n">
        <f aca="false">E6/F6</f>
        <v>0.212880143112701</v>
      </c>
      <c r="L6" s="24" t="n">
        <f aca="false">E6/H6</f>
        <v>0.132222222222222</v>
      </c>
      <c r="M6" s="25" t="n">
        <f aca="false">LN(H6)</f>
        <v>7.49554194388426</v>
      </c>
      <c r="N6" s="24" t="n">
        <f aca="false">(C6-'Raw Data'!D6)/'Raw Data'!D6</f>
        <v>0.131565527791943</v>
      </c>
      <c r="O6" s="24" t="n">
        <f aca="false">I6/H6</f>
        <v>0.51</v>
      </c>
      <c r="P6" s="23" t="n">
        <f aca="false">'Raw Data'!L7</f>
        <v>6.45</v>
      </c>
    </row>
    <row r="7" customFormat="false" ht="15" hidden="false" customHeight="false" outlineLevel="0" collapsed="false">
      <c r="A7" s="12" t="s">
        <v>39</v>
      </c>
      <c r="B7" s="12" t="s">
        <v>79</v>
      </c>
      <c r="C7" s="22" t="n">
        <f aca="false">'Raw Data'!D8</f>
        <v>2512</v>
      </c>
      <c r="D7" s="22" t="n">
        <f aca="false">'Raw Data'!E8</f>
        <v>429</v>
      </c>
      <c r="E7" s="22" t="n">
        <f aca="false">'Raw Data'!F8</f>
        <v>225</v>
      </c>
      <c r="F7" s="22" t="n">
        <f aca="false">'Raw Data'!G8+'Raw Data'!H8</f>
        <v>1337</v>
      </c>
      <c r="G7" s="22" t="n">
        <f aca="false">'Raw Data'!I8</f>
        <v>346</v>
      </c>
      <c r="H7" s="22" t="n">
        <f aca="false">'Raw Data'!J8</f>
        <v>1930</v>
      </c>
      <c r="I7" s="22" t="n">
        <f aca="false">'Raw Data'!K8</f>
        <v>865</v>
      </c>
      <c r="J7" s="23" t="n">
        <f aca="false">G7/F7</f>
        <v>0.258788332086761</v>
      </c>
      <c r="K7" s="24" t="n">
        <f aca="false">E7/F7</f>
        <v>0.168287210172027</v>
      </c>
      <c r="L7" s="24" t="n">
        <f aca="false">E7/H7</f>
        <v>0.116580310880829</v>
      </c>
      <c r="M7" s="25" t="n">
        <f aca="false">LN(H7)</f>
        <v>7.56527528189893</v>
      </c>
      <c r="N7" s="24" t="n">
        <f aca="false">(C7-'Raw Data'!D7)/'Raw Data'!D7</f>
        <v>0.13204146011717</v>
      </c>
      <c r="O7" s="24" t="n">
        <f aca="false">I7/H7</f>
        <v>0.448186528497409</v>
      </c>
      <c r="P7" s="23" t="n">
        <f aca="false">'Raw Data'!L8</f>
        <v>6.09</v>
      </c>
    </row>
    <row r="8" customFormat="false" ht="15" hidden="false" customHeight="false" outlineLevel="0" collapsed="false">
      <c r="A8" s="12" t="s">
        <v>39</v>
      </c>
      <c r="B8" s="12" t="s">
        <v>80</v>
      </c>
      <c r="C8" s="22" t="n">
        <f aca="false">'Raw Data'!D9</f>
        <v>2979</v>
      </c>
      <c r="D8" s="22" t="n">
        <f aca="false">'Raw Data'!E9</f>
        <v>507</v>
      </c>
      <c r="E8" s="22" t="n">
        <f aca="false">'Raw Data'!F9</f>
        <v>289</v>
      </c>
      <c r="F8" s="22" t="n">
        <f aca="false">'Raw Data'!G9+'Raw Data'!H9</f>
        <v>1511</v>
      </c>
      <c r="G8" s="22" t="n">
        <f aca="false">'Raw Data'!I9</f>
        <v>654</v>
      </c>
      <c r="H8" s="22" t="n">
        <f aca="false">'Raw Data'!J9</f>
        <v>2397</v>
      </c>
      <c r="I8" s="22" t="n">
        <f aca="false">'Raw Data'!K9</f>
        <v>798</v>
      </c>
      <c r="J8" s="23" t="n">
        <f aca="false">G8/F8</f>
        <v>0.43282594308405</v>
      </c>
      <c r="K8" s="24" t="n">
        <f aca="false">E8/F8</f>
        <v>0.191264063534083</v>
      </c>
      <c r="L8" s="24" t="n">
        <f aca="false">E8/H8</f>
        <v>0.120567375886525</v>
      </c>
      <c r="M8" s="25" t="n">
        <f aca="false">LN(H8)</f>
        <v>7.78197323443439</v>
      </c>
      <c r="N8" s="24" t="n">
        <f aca="false">(C8-'Raw Data'!D8)/'Raw Data'!D8</f>
        <v>0.185907643312102</v>
      </c>
      <c r="O8" s="24" t="n">
        <f aca="false">I8/H8</f>
        <v>0.332916145181477</v>
      </c>
      <c r="P8" s="23" t="n">
        <f aca="false">'Raw Data'!L9</f>
        <v>7.97</v>
      </c>
    </row>
    <row r="9" customFormat="false" ht="15" hidden="false" customHeight="false" outlineLevel="0" collapsed="false">
      <c r="A9" s="12" t="s">
        <v>39</v>
      </c>
      <c r="B9" s="12" t="s">
        <v>81</v>
      </c>
      <c r="C9" s="22" t="n">
        <f aca="false">'Raw Data'!D10</f>
        <v>2898</v>
      </c>
      <c r="D9" s="22" t="n">
        <f aca="false">'Raw Data'!E10</f>
        <v>475</v>
      </c>
      <c r="E9" s="22" t="n">
        <f aca="false">'Raw Data'!F10</f>
        <v>295</v>
      </c>
      <c r="F9" s="22" t="n">
        <f aca="false">'Raw Data'!G10+'Raw Data'!H10</f>
        <v>1504</v>
      </c>
      <c r="G9" s="22" t="n">
        <f aca="false">'Raw Data'!I10</f>
        <v>472</v>
      </c>
      <c r="H9" s="22" t="n">
        <f aca="false">'Raw Data'!J10</f>
        <v>2187</v>
      </c>
      <c r="I9" s="22" t="n">
        <f aca="false">'Raw Data'!K10</f>
        <v>873</v>
      </c>
      <c r="J9" s="23" t="n">
        <f aca="false">G9/F9</f>
        <v>0.313829787234043</v>
      </c>
      <c r="K9" s="24" t="n">
        <f aca="false">E9/F9</f>
        <v>0.196143617021277</v>
      </c>
      <c r="L9" s="24" t="n">
        <f aca="false">E9/H9</f>
        <v>0.134887974394147</v>
      </c>
      <c r="M9" s="25" t="n">
        <f aca="false">LN(H9)</f>
        <v>7.69028602067677</v>
      </c>
      <c r="N9" s="24" t="n">
        <f aca="false">(C9-'Raw Data'!D9)/'Raw Data'!D9</f>
        <v>-0.027190332326284</v>
      </c>
      <c r="O9" s="24" t="n">
        <f aca="false">I9/H9</f>
        <v>0.39917695473251</v>
      </c>
      <c r="P9" s="23" t="n">
        <f aca="false">'Raw Data'!L10</f>
        <v>8.56</v>
      </c>
    </row>
    <row r="10" customFormat="false" ht="15" hidden="false" customHeight="false" outlineLevel="0" collapsed="false">
      <c r="A10" s="12" t="s">
        <v>39</v>
      </c>
      <c r="B10" s="12" t="s">
        <v>82</v>
      </c>
      <c r="C10" s="22" t="n">
        <f aca="false">'Raw Data'!D11</f>
        <v>2954</v>
      </c>
      <c r="D10" s="22" t="n">
        <f aca="false">'Raw Data'!E11</f>
        <v>664</v>
      </c>
      <c r="E10" s="22" t="n">
        <f aca="false">'Raw Data'!F11</f>
        <v>433</v>
      </c>
      <c r="F10" s="22" t="n">
        <f aca="false">'Raw Data'!G11+'Raw Data'!H11</f>
        <v>1906</v>
      </c>
      <c r="G10" s="22" t="n">
        <f aca="false">'Raw Data'!I11</f>
        <v>317</v>
      </c>
      <c r="H10" s="22" t="n">
        <f aca="false">'Raw Data'!J11</f>
        <v>2485</v>
      </c>
      <c r="I10" s="22" t="n">
        <f aca="false">'Raw Data'!K11</f>
        <v>815</v>
      </c>
      <c r="J10" s="23" t="n">
        <f aca="false">G10/F10</f>
        <v>0.166316894018888</v>
      </c>
      <c r="K10" s="24" t="n">
        <f aca="false">E10/F10</f>
        <v>0.227177334732424</v>
      </c>
      <c r="L10" s="24" t="n">
        <f aca="false">E10/H10</f>
        <v>0.174245472837022</v>
      </c>
      <c r="M10" s="25" t="n">
        <f aca="false">LN(H10)</f>
        <v>7.81802793853073</v>
      </c>
      <c r="N10" s="24" t="n">
        <f aca="false">(C10-'Raw Data'!D10)/'Raw Data'!D10</f>
        <v>0.0193236714975845</v>
      </c>
      <c r="O10" s="24" t="n">
        <f aca="false">I10/H10</f>
        <v>0.327967806841046</v>
      </c>
      <c r="P10" s="23" t="n">
        <f aca="false">'Raw Data'!L11</f>
        <v>12.57</v>
      </c>
    </row>
    <row r="11" customFormat="false" ht="15" hidden="false" customHeight="false" outlineLevel="0" collapsed="false">
      <c r="A11" s="12" t="s">
        <v>39</v>
      </c>
      <c r="B11" s="12" t="s">
        <v>83</v>
      </c>
      <c r="C11" s="22" t="n">
        <f aca="false">'Raw Data'!D12</f>
        <v>4074</v>
      </c>
      <c r="D11" s="22" t="n">
        <f aca="false">'Raw Data'!E12</f>
        <v>984</v>
      </c>
      <c r="E11" s="22" t="n">
        <f aca="false">'Raw Data'!F12</f>
        <v>731</v>
      </c>
      <c r="F11" s="22" t="n">
        <f aca="false">'Raw Data'!G12+'Raw Data'!H12</f>
        <v>2632</v>
      </c>
      <c r="G11" s="22" t="n">
        <f aca="false">'Raw Data'!I12</f>
        <v>418</v>
      </c>
      <c r="H11" s="22" t="n">
        <f aca="false">'Raw Data'!J12</f>
        <v>3359</v>
      </c>
      <c r="I11" s="22" t="n">
        <f aca="false">'Raw Data'!K12</f>
        <v>850</v>
      </c>
      <c r="J11" s="23" t="n">
        <f aca="false">G11/F11</f>
        <v>0.158814589665653</v>
      </c>
      <c r="K11" s="24" t="n">
        <f aca="false">E11/F11</f>
        <v>0.27773556231003</v>
      </c>
      <c r="L11" s="24" t="n">
        <f aca="false">E11/H11</f>
        <v>0.217624292944329</v>
      </c>
      <c r="M11" s="25" t="n">
        <f aca="false">LN(H11)</f>
        <v>8.11939858961229</v>
      </c>
      <c r="N11" s="24" t="n">
        <f aca="false">(C11-'Raw Data'!D11)/'Raw Data'!D11</f>
        <v>0.37914691943128</v>
      </c>
      <c r="O11" s="24" t="n">
        <f aca="false">I11/H11</f>
        <v>0.253051503423638</v>
      </c>
      <c r="P11" s="23" t="n">
        <f aca="false">'Raw Data'!L12</f>
        <v>21.24</v>
      </c>
    </row>
    <row r="12" customFormat="false" ht="15" hidden="false" customHeight="false" outlineLevel="0" collapsed="false">
      <c r="A12" s="12" t="s">
        <v>39</v>
      </c>
      <c r="B12" s="12" t="s">
        <v>84</v>
      </c>
      <c r="C12" s="22" t="n">
        <f aca="false">'Raw Data'!D13</f>
        <v>4740</v>
      </c>
      <c r="D12" s="22" t="n">
        <f aca="false">'Raw Data'!E13</f>
        <v>799</v>
      </c>
      <c r="E12" s="22" t="n">
        <f aca="false">'Raw Data'!F13</f>
        <v>635</v>
      </c>
      <c r="F12" s="22" t="n">
        <f aca="false">'Raw Data'!G13+'Raw Data'!H13</f>
        <v>2973</v>
      </c>
      <c r="G12" s="22" t="n">
        <f aca="false">'Raw Data'!I13</f>
        <v>498</v>
      </c>
      <c r="H12" s="22" t="n">
        <f aca="false">'Raw Data'!J13</f>
        <v>3874</v>
      </c>
      <c r="I12" s="22" t="n">
        <f aca="false">'Raw Data'!K13</f>
        <v>971</v>
      </c>
      <c r="J12" s="23" t="n">
        <f aca="false">G12/F12</f>
        <v>0.167507568113017</v>
      </c>
      <c r="K12" s="24" t="n">
        <f aca="false">E12/F12</f>
        <v>0.213588967373024</v>
      </c>
      <c r="L12" s="24" t="n">
        <f aca="false">E12/H12</f>
        <v>0.163913267940114</v>
      </c>
      <c r="M12" s="25" t="n">
        <f aca="false">LN(H12)</f>
        <v>8.26204284396694</v>
      </c>
      <c r="N12" s="24" t="n">
        <f aca="false">(C12-'Raw Data'!D12)/'Raw Data'!D12</f>
        <v>0.163475699558174</v>
      </c>
      <c r="O12" s="24" t="n">
        <f aca="false">I12/H12</f>
        <v>0.250645327826536</v>
      </c>
      <c r="P12" s="23" t="n">
        <f aca="false">'Raw Data'!L13</f>
        <v>18.58</v>
      </c>
    </row>
    <row r="13" customFormat="false" ht="15" hidden="false" customHeight="false" outlineLevel="0" collapsed="false">
      <c r="A13" s="12" t="s">
        <v>39</v>
      </c>
      <c r="B13" s="12" t="s">
        <v>85</v>
      </c>
      <c r="C13" s="22" t="n">
        <f aca="false">'Raw Data'!D14</f>
        <v>4054</v>
      </c>
      <c r="D13" s="22" t="n">
        <f aca="false">'Raw Data'!E14</f>
        <v>595</v>
      </c>
      <c r="E13" s="22" t="n">
        <f aca="false">'Raw Data'!F14</f>
        <v>555</v>
      </c>
      <c r="F13" s="22" t="n">
        <f aca="false">'Raw Data'!G14+'Raw Data'!H14</f>
        <v>3374</v>
      </c>
      <c r="G13" s="22" t="n">
        <f aca="false">'Raw Data'!I14</f>
        <v>287</v>
      </c>
      <c r="H13" s="22" t="n">
        <f aca="false">'Raw Data'!J14</f>
        <v>3919</v>
      </c>
      <c r="I13" s="22" t="n">
        <f aca="false">'Raw Data'!K14</f>
        <v>1070</v>
      </c>
      <c r="J13" s="23" t="n">
        <f aca="false">G13/F13</f>
        <v>0.0850622406639004</v>
      </c>
      <c r="K13" s="24" t="n">
        <f aca="false">E13/F13</f>
        <v>0.164493183165382</v>
      </c>
      <c r="L13" s="24" t="n">
        <f aca="false">E13/H13</f>
        <v>0.141617759632559</v>
      </c>
      <c r="M13" s="25" t="n">
        <f aca="false">LN(H13)</f>
        <v>8.27359179819963</v>
      </c>
      <c r="N13" s="24" t="n">
        <f aca="false">(C13-'Raw Data'!D13)/'Raw Data'!D13</f>
        <v>-0.144725738396624</v>
      </c>
      <c r="O13" s="24" t="n">
        <f aca="false">I13/H13</f>
        <v>0.273028833886196</v>
      </c>
      <c r="P13" s="23" t="n">
        <f aca="false">'Raw Data'!L14</f>
        <v>16.23</v>
      </c>
    </row>
    <row r="14" customFormat="false" ht="15" hidden="false" customHeight="false" outlineLevel="0" collapsed="false">
      <c r="A14" s="12" t="s">
        <v>39</v>
      </c>
      <c r="B14" s="12" t="s">
        <v>86</v>
      </c>
      <c r="C14" s="22" t="n">
        <f aca="false">'Raw Data'!D15</f>
        <v>4216</v>
      </c>
      <c r="D14" s="22" t="n">
        <f aca="false">'Raw Data'!E15</f>
        <v>764</v>
      </c>
      <c r="E14" s="22" t="n">
        <f aca="false">'Raw Data'!F15</f>
        <v>653</v>
      </c>
      <c r="F14" s="22" t="n">
        <f aca="false">'Raw Data'!G15+'Raw Data'!H15</f>
        <v>3856</v>
      </c>
      <c r="G14" s="22" t="n">
        <f aca="false">'Raw Data'!I15</f>
        <v>241</v>
      </c>
      <c r="H14" s="22" t="n">
        <f aca="false">'Raw Data'!J15</f>
        <v>4403</v>
      </c>
      <c r="I14" s="22" t="n">
        <f aca="false">'Raw Data'!K15</f>
        <v>1122</v>
      </c>
      <c r="J14" s="23" t="n">
        <f aca="false">G14/F14</f>
        <v>0.0625</v>
      </c>
      <c r="K14" s="24" t="n">
        <f aca="false">E14/F14</f>
        <v>0.169346473029046</v>
      </c>
      <c r="L14" s="24" t="n">
        <f aca="false">E14/H14</f>
        <v>0.148307971837384</v>
      </c>
      <c r="M14" s="25" t="n">
        <f aca="false">LN(H14)</f>
        <v>8.39004140575575</v>
      </c>
      <c r="N14" s="24" t="n">
        <f aca="false">(C14-'Raw Data'!D14)/'Raw Data'!D14</f>
        <v>0.0399605328071041</v>
      </c>
      <c r="O14" s="24" t="n">
        <f aca="false">I14/H14</f>
        <v>0.254826254826255</v>
      </c>
      <c r="P14" s="23" t="n">
        <f aca="false">'Raw Data'!L15</f>
        <v>19.11</v>
      </c>
    </row>
    <row r="15" customFormat="false" ht="15" hidden="false" customHeight="false" outlineLevel="0" collapsed="false">
      <c r="A15" s="15" t="s">
        <v>41</v>
      </c>
      <c r="B15" s="15" t="s">
        <v>77</v>
      </c>
      <c r="C15" s="26" t="n">
        <f aca="false">'Raw Data'!D17</f>
        <v>4885</v>
      </c>
      <c r="D15" s="26" t="n">
        <f aca="false">'Raw Data'!E17</f>
        <v>1275</v>
      </c>
      <c r="E15" s="26" t="n">
        <f aca="false">'Raw Data'!F17</f>
        <v>648</v>
      </c>
      <c r="F15" s="26" t="n">
        <f aca="false">'Raw Data'!G17+'Raw Data'!H17</f>
        <v>1899</v>
      </c>
      <c r="G15" s="26" t="n">
        <f aca="false">'Raw Data'!I17</f>
        <v>2566</v>
      </c>
      <c r="H15" s="26" t="n">
        <f aca="false">'Raw Data'!J17</f>
        <v>5362</v>
      </c>
      <c r="I15" s="26" t="n">
        <f aca="false">'Raw Data'!K17</f>
        <v>2830</v>
      </c>
      <c r="J15" s="27" t="n">
        <f aca="false">G15/F15</f>
        <v>1.35123749341759</v>
      </c>
      <c r="K15" s="28" t="n">
        <f aca="false">E15/F15</f>
        <v>0.341232227488152</v>
      </c>
      <c r="L15" s="28" t="n">
        <f aca="false">E15/H15</f>
        <v>0.120850428944424</v>
      </c>
      <c r="M15" s="29" t="n">
        <f aca="false">LN(H15)</f>
        <v>8.58709231879591</v>
      </c>
      <c r="N15" s="28" t="n">
        <f aca="false">(C15-'Raw Data'!D16)/'Raw Data'!D16</f>
        <v>0.112756264236902</v>
      </c>
      <c r="O15" s="28" t="n">
        <f aca="false">I15/H15</f>
        <v>0.527788138754196</v>
      </c>
      <c r="P15" s="27" t="n">
        <f aca="false">'Raw Data'!L17</f>
        <v>6.45</v>
      </c>
    </row>
    <row r="16" customFormat="false" ht="15" hidden="false" customHeight="false" outlineLevel="0" collapsed="false">
      <c r="A16" s="15" t="s">
        <v>41</v>
      </c>
      <c r="B16" s="15" t="s">
        <v>78</v>
      </c>
      <c r="C16" s="26" t="n">
        <f aca="false">'Raw Data'!D18</f>
        <v>5639</v>
      </c>
      <c r="D16" s="26" t="n">
        <f aca="false">'Raw Data'!E18</f>
        <v>1370</v>
      </c>
      <c r="E16" s="26" t="n">
        <f aca="false">'Raw Data'!F18</f>
        <v>307</v>
      </c>
      <c r="F16" s="26" t="n">
        <f aca="false">'Raw Data'!G18+'Raw Data'!H18</f>
        <v>2201</v>
      </c>
      <c r="G16" s="26" t="n">
        <f aca="false">'Raw Data'!I18</f>
        <v>2738</v>
      </c>
      <c r="H16" s="26" t="n">
        <f aca="false">'Raw Data'!J18</f>
        <v>6248</v>
      </c>
      <c r="I16" s="26" t="n">
        <f aca="false">'Raw Data'!K18</f>
        <v>3057</v>
      </c>
      <c r="J16" s="27" t="n">
        <f aca="false">G16/F16</f>
        <v>1.24398000908678</v>
      </c>
      <c r="K16" s="28" t="n">
        <f aca="false">E16/F16</f>
        <v>0.139482053611995</v>
      </c>
      <c r="L16" s="28" t="n">
        <f aca="false">E16/H16</f>
        <v>0.0491357234314981</v>
      </c>
      <c r="M16" s="29" t="n">
        <f aca="false">LN(H16)</f>
        <v>8.74001669151952</v>
      </c>
      <c r="N16" s="28" t="n">
        <f aca="false">(C16-'Raw Data'!D17)/'Raw Data'!D17</f>
        <v>0.154350051177073</v>
      </c>
      <c r="O16" s="28" t="n">
        <f aca="false">I16/H16</f>
        <v>0.489276568501921</v>
      </c>
      <c r="P16" s="27" t="n">
        <f aca="false">'Raw Data'!L18</f>
        <v>3.05</v>
      </c>
    </row>
    <row r="17" customFormat="false" ht="15" hidden="false" customHeight="false" outlineLevel="0" collapsed="false">
      <c r="A17" s="15" t="s">
        <v>41</v>
      </c>
      <c r="B17" s="15" t="s">
        <v>79</v>
      </c>
      <c r="C17" s="26" t="n">
        <f aca="false">'Raw Data'!D19</f>
        <v>4977</v>
      </c>
      <c r="D17" s="26" t="n">
        <f aca="false">'Raw Data'!E19</f>
        <v>894</v>
      </c>
      <c r="E17" s="26" t="n">
        <f aca="false">'Raw Data'!F19</f>
        <v>304</v>
      </c>
      <c r="F17" s="26" t="n">
        <f aca="false">'Raw Data'!G19+'Raw Data'!H19</f>
        <v>2429</v>
      </c>
      <c r="G17" s="26" t="n">
        <f aca="false">'Raw Data'!I19</f>
        <v>2721</v>
      </c>
      <c r="H17" s="26" t="n">
        <f aca="false">'Raw Data'!J19</f>
        <v>6248</v>
      </c>
      <c r="I17" s="26" t="n">
        <f aca="false">'Raw Data'!K19</f>
        <v>2846</v>
      </c>
      <c r="J17" s="27" t="n">
        <f aca="false">G17/F17</f>
        <v>1.12021407986826</v>
      </c>
      <c r="K17" s="28" t="n">
        <f aca="false">E17/F17</f>
        <v>0.125154384520379</v>
      </c>
      <c r="L17" s="28" t="n">
        <f aca="false">E17/H17</f>
        <v>0.0486555697823304</v>
      </c>
      <c r="M17" s="29" t="n">
        <f aca="false">LN(H17)</f>
        <v>8.74001669151952</v>
      </c>
      <c r="N17" s="28" t="n">
        <f aca="false">(C17-'Raw Data'!D18)/'Raw Data'!D18</f>
        <v>-0.117396701542827</v>
      </c>
      <c r="O17" s="28" t="n">
        <f aca="false">I17/H17</f>
        <v>0.45550576184379</v>
      </c>
      <c r="P17" s="27" t="n">
        <f aca="false">'Raw Data'!L19</f>
        <v>3.03</v>
      </c>
    </row>
    <row r="18" customFormat="false" ht="15" hidden="false" customHeight="false" outlineLevel="0" collapsed="false">
      <c r="A18" s="15" t="s">
        <v>41</v>
      </c>
      <c r="B18" s="15" t="s">
        <v>80</v>
      </c>
      <c r="C18" s="26" t="n">
        <f aca="false">'Raw Data'!D20</f>
        <v>5395</v>
      </c>
      <c r="D18" s="26" t="n">
        <f aca="false">'Raw Data'!E20</f>
        <v>795</v>
      </c>
      <c r="E18" s="26" t="n">
        <f aca="false">'Raw Data'!F20</f>
        <v>142</v>
      </c>
      <c r="F18" s="26" t="n">
        <f aca="false">'Raw Data'!G20+'Raw Data'!H20</f>
        <v>2489</v>
      </c>
      <c r="G18" s="26" t="n">
        <f aca="false">'Raw Data'!I20</f>
        <v>2510</v>
      </c>
      <c r="H18" s="26" t="n">
        <f aca="false">'Raw Data'!J20</f>
        <v>6264</v>
      </c>
      <c r="I18" s="26" t="n">
        <f aca="false">'Raw Data'!K20</f>
        <v>2654</v>
      </c>
      <c r="J18" s="27" t="n">
        <f aca="false">G18/F18</f>
        <v>1.00843712334271</v>
      </c>
      <c r="K18" s="28" t="n">
        <f aca="false">E18/F18</f>
        <v>0.0570510245078345</v>
      </c>
      <c r="L18" s="28" t="n">
        <f aca="false">E18/H18</f>
        <v>0.022669220945083</v>
      </c>
      <c r="M18" s="29" t="n">
        <f aca="false">LN(H18)</f>
        <v>8.74257423767064</v>
      </c>
      <c r="N18" s="28" t="n">
        <f aca="false">(C18-'Raw Data'!D19)/'Raw Data'!D19</f>
        <v>0.0839863371508941</v>
      </c>
      <c r="O18" s="28" t="n">
        <f aca="false">I18/H18</f>
        <v>0.423690932311622</v>
      </c>
      <c r="P18" s="27" t="n">
        <f aca="false">'Raw Data'!L20</f>
        <v>1.41</v>
      </c>
    </row>
    <row r="19" customFormat="false" ht="15" hidden="false" customHeight="false" outlineLevel="0" collapsed="false">
      <c r="A19" s="15" t="s">
        <v>41</v>
      </c>
      <c r="B19" s="15" t="s">
        <v>81</v>
      </c>
      <c r="C19" s="26" t="n">
        <f aca="false">'Raw Data'!D21</f>
        <v>5324</v>
      </c>
      <c r="D19" s="26" t="n">
        <f aca="false">'Raw Data'!E21</f>
        <v>1009</v>
      </c>
      <c r="E19" s="26" t="n">
        <f aca="false">'Raw Data'!F21</f>
        <v>475</v>
      </c>
      <c r="F19" s="26" t="n">
        <f aca="false">'Raw Data'!G21+'Raw Data'!H21</f>
        <v>2807</v>
      </c>
      <c r="G19" s="26" t="n">
        <f aca="false">'Raw Data'!I21</f>
        <v>2275</v>
      </c>
      <c r="H19" s="26" t="n">
        <f aca="false">'Raw Data'!J21</f>
        <v>6221</v>
      </c>
      <c r="I19" s="26" t="n">
        <f aca="false">'Raw Data'!K21</f>
        <v>2385</v>
      </c>
      <c r="J19" s="27" t="n">
        <f aca="false">G19/F19</f>
        <v>0.810473815461347</v>
      </c>
      <c r="K19" s="28" t="n">
        <f aca="false">E19/F19</f>
        <v>0.169219807623798</v>
      </c>
      <c r="L19" s="28" t="n">
        <f aca="false">E19/H19</f>
        <v>0.0763542838771902</v>
      </c>
      <c r="M19" s="29" t="n">
        <f aca="false">LN(H19)</f>
        <v>8.73568594451502</v>
      </c>
      <c r="N19" s="28" t="n">
        <f aca="false">(C19-'Raw Data'!D20)/'Raw Data'!D20</f>
        <v>-0.0131603336422614</v>
      </c>
      <c r="O19" s="28" t="n">
        <f aca="false">I19/H19</f>
        <v>0.383378877993892</v>
      </c>
      <c r="P19" s="27" t="n">
        <f aca="false">'Raw Data'!L21</f>
        <v>4.73</v>
      </c>
    </row>
    <row r="20" customFormat="false" ht="15" hidden="false" customHeight="false" outlineLevel="0" collapsed="false">
      <c r="A20" s="15" t="s">
        <v>41</v>
      </c>
      <c r="B20" s="15" t="s">
        <v>82</v>
      </c>
      <c r="C20" s="26" t="n">
        <f aca="false">'Raw Data'!D22</f>
        <v>5956</v>
      </c>
      <c r="D20" s="26" t="n">
        <f aca="false">'Raw Data'!E22</f>
        <v>1084</v>
      </c>
      <c r="E20" s="26" t="n">
        <f aca="false">'Raw Data'!F22</f>
        <v>527</v>
      </c>
      <c r="F20" s="26" t="n">
        <f aca="false">'Raw Data'!G22+'Raw Data'!H22</f>
        <v>3338</v>
      </c>
      <c r="G20" s="26" t="n">
        <f aca="false">'Raw Data'!I22</f>
        <v>1409</v>
      </c>
      <c r="H20" s="26" t="n">
        <f aca="false">'Raw Data'!J22</f>
        <v>6098</v>
      </c>
      <c r="I20" s="26" t="n">
        <f aca="false">'Raw Data'!K22</f>
        <v>2158</v>
      </c>
      <c r="J20" s="27" t="n">
        <f aca="false">G20/F20</f>
        <v>0.422109047333733</v>
      </c>
      <c r="K20" s="28" t="n">
        <f aca="false">E20/F20</f>
        <v>0.15787896944278</v>
      </c>
      <c r="L20" s="28" t="n">
        <f aca="false">E20/H20</f>
        <v>0.0864217776320105</v>
      </c>
      <c r="M20" s="29" t="n">
        <f aca="false">LN(H20)</f>
        <v>8.7157161275482</v>
      </c>
      <c r="N20" s="28" t="n">
        <f aca="false">(C20-'Raw Data'!D21)/'Raw Data'!D21</f>
        <v>0.118707738542449</v>
      </c>
      <c r="O20" s="28" t="n">
        <f aca="false">I20/H20</f>
        <v>0.353886520170548</v>
      </c>
      <c r="P20" s="27" t="n">
        <f aca="false">'Raw Data'!L22</f>
        <v>5.24</v>
      </c>
    </row>
    <row r="21" customFormat="false" ht="15" hidden="false" customHeight="false" outlineLevel="0" collapsed="false">
      <c r="A21" s="15" t="s">
        <v>41</v>
      </c>
      <c r="B21" s="15" t="s">
        <v>83</v>
      </c>
      <c r="C21" s="26" t="n">
        <f aca="false">'Raw Data'!D23</f>
        <v>6703</v>
      </c>
      <c r="D21" s="26" t="n">
        <f aca="false">'Raw Data'!E23</f>
        <v>893</v>
      </c>
      <c r="E21" s="26" t="n">
        <f aca="false">'Raw Data'!F23</f>
        <v>392</v>
      </c>
      <c r="F21" s="26" t="n">
        <f aca="false">'Raw Data'!G23+'Raw Data'!H23</f>
        <v>3475</v>
      </c>
      <c r="G21" s="26" t="n">
        <f aca="false">'Raw Data'!I23</f>
        <v>1318</v>
      </c>
      <c r="H21" s="26" t="n">
        <f aca="false">'Raw Data'!J23</f>
        <v>6191</v>
      </c>
      <c r="I21" s="26" t="n">
        <f aca="false">'Raw Data'!K23</f>
        <v>2025</v>
      </c>
      <c r="J21" s="27" t="n">
        <f aca="false">G21/F21</f>
        <v>0.379280575539568</v>
      </c>
      <c r="K21" s="28" t="n">
        <f aca="false">E21/F21</f>
        <v>0.112805755395683</v>
      </c>
      <c r="L21" s="28" t="n">
        <f aca="false">E21/H21</f>
        <v>0.0633177192699079</v>
      </c>
      <c r="M21" s="29" t="n">
        <f aca="false">LN(H21)</f>
        <v>8.73085190351923</v>
      </c>
      <c r="N21" s="28" t="n">
        <f aca="false">(C21-'Raw Data'!D22)/'Raw Data'!D22</f>
        <v>0.125419744795165</v>
      </c>
      <c r="O21" s="28" t="n">
        <f aca="false">I21/H21</f>
        <v>0.327087707963172</v>
      </c>
      <c r="P21" s="27" t="n">
        <f aca="false">'Raw Data'!L23</f>
        <v>3.9</v>
      </c>
    </row>
    <row r="22" customFormat="false" ht="15" hidden="false" customHeight="false" outlineLevel="0" collapsed="false">
      <c r="A22" s="15" t="s">
        <v>41</v>
      </c>
      <c r="B22" s="15" t="s">
        <v>84</v>
      </c>
      <c r="C22" s="26" t="n">
        <f aca="false">'Raw Data'!D24</f>
        <v>6298</v>
      </c>
      <c r="D22" s="26" t="n">
        <f aca="false">'Raw Data'!E24</f>
        <v>456</v>
      </c>
      <c r="E22" s="26" t="n">
        <f aca="false">'Raw Data'!F24</f>
        <v>123</v>
      </c>
      <c r="F22" s="26" t="n">
        <f aca="false">'Raw Data'!G24+'Raw Data'!H24</f>
        <v>3408</v>
      </c>
      <c r="G22" s="26" t="n">
        <f aca="false">'Raw Data'!I24</f>
        <v>1767</v>
      </c>
      <c r="H22" s="26" t="n">
        <f aca="false">'Raw Data'!J24</f>
        <v>6880</v>
      </c>
      <c r="I22" s="26" t="n">
        <f aca="false">'Raw Data'!K24</f>
        <v>2938</v>
      </c>
      <c r="J22" s="27" t="n">
        <f aca="false">G22/F22</f>
        <v>0.518485915492958</v>
      </c>
      <c r="K22" s="28" t="n">
        <f aca="false">E22/F22</f>
        <v>0.0360915492957747</v>
      </c>
      <c r="L22" s="28" t="n">
        <f aca="false">E22/H22</f>
        <v>0.0178779069767442</v>
      </c>
      <c r="M22" s="29" t="n">
        <f aca="false">LN(H22)</f>
        <v>8.83637393092739</v>
      </c>
      <c r="N22" s="28" t="n">
        <f aca="false">(C22-'Raw Data'!D23)/'Raw Data'!D23</f>
        <v>-0.060420707146054</v>
      </c>
      <c r="O22" s="28" t="n">
        <f aca="false">I22/H22</f>
        <v>0.42703488372093</v>
      </c>
      <c r="P22" s="27" t="n">
        <f aca="false">'Raw Data'!L24</f>
        <v>1.22</v>
      </c>
    </row>
    <row r="23" customFormat="false" ht="15" hidden="false" customHeight="false" outlineLevel="0" collapsed="false">
      <c r="A23" s="15" t="s">
        <v>41</v>
      </c>
      <c r="B23" s="15" t="s">
        <v>85</v>
      </c>
      <c r="C23" s="26" t="n">
        <f aca="false">'Raw Data'!D25</f>
        <v>8085</v>
      </c>
      <c r="D23" s="26" t="n">
        <f aca="false">'Raw Data'!E25</f>
        <v>1012</v>
      </c>
      <c r="E23" s="26" t="n">
        <f aca="false">'Raw Data'!F25</f>
        <v>596</v>
      </c>
      <c r="F23" s="26" t="n">
        <f aca="false">'Raw Data'!G25+'Raw Data'!H25</f>
        <v>3741</v>
      </c>
      <c r="G23" s="26" t="n">
        <f aca="false">'Raw Data'!I25</f>
        <v>1965</v>
      </c>
      <c r="H23" s="26" t="n">
        <f aca="false">'Raw Data'!J25</f>
        <v>7515</v>
      </c>
      <c r="I23" s="26" t="n">
        <f aca="false">'Raw Data'!K25</f>
        <v>2879</v>
      </c>
      <c r="J23" s="27" t="n">
        <f aca="false">G23/F23</f>
        <v>0.525260625501203</v>
      </c>
      <c r="K23" s="28" t="n">
        <f aca="false">E23/F23</f>
        <v>0.159315690991713</v>
      </c>
      <c r="L23" s="28" t="n">
        <f aca="false">E23/H23</f>
        <v>0.0793080505655356</v>
      </c>
      <c r="M23" s="29" t="n">
        <f aca="false">LN(H23)</f>
        <v>8.92465630218707</v>
      </c>
      <c r="N23" s="28" t="n">
        <f aca="false">(C23-'Raw Data'!D24)/'Raw Data'!D24</f>
        <v>0.283740870117498</v>
      </c>
      <c r="O23" s="28" t="n">
        <f aca="false">I23/H23</f>
        <v>0.383100465735196</v>
      </c>
      <c r="P23" s="27" t="n">
        <f aca="false">'Raw Data'!L25</f>
        <v>6.13</v>
      </c>
    </row>
    <row r="24" customFormat="false" ht="15" hidden="false" customHeight="false" outlineLevel="0" collapsed="false">
      <c r="A24" s="15" t="s">
        <v>41</v>
      </c>
      <c r="B24" s="15" t="s">
        <v>86</v>
      </c>
      <c r="C24" s="26" t="n">
        <f aca="false">'Raw Data'!D26</f>
        <v>8622</v>
      </c>
      <c r="D24" s="26" t="n">
        <f aca="false">'Raw Data'!E26</f>
        <v>907</v>
      </c>
      <c r="E24" s="26" t="n">
        <f aca="false">'Raw Data'!F26</f>
        <v>507</v>
      </c>
      <c r="F24" s="26" t="n">
        <f aca="false">'Raw Data'!G26+'Raw Data'!H26</f>
        <v>3905</v>
      </c>
      <c r="G24" s="26" t="n">
        <f aca="false">'Raw Data'!I26</f>
        <v>1678</v>
      </c>
      <c r="H24" s="26" t="n">
        <f aca="false">'Raw Data'!J26</f>
        <v>7508</v>
      </c>
      <c r="I24" s="26" t="n">
        <f aca="false">'Raw Data'!K26</f>
        <v>2933</v>
      </c>
      <c r="J24" s="27" t="n">
        <f aca="false">G24/F24</f>
        <v>0.429705505761844</v>
      </c>
      <c r="K24" s="28" t="n">
        <f aca="false">E24/F24</f>
        <v>0.129833546734955</v>
      </c>
      <c r="L24" s="28" t="n">
        <f aca="false">E24/H24</f>
        <v>0.0675279701651572</v>
      </c>
      <c r="M24" s="29" t="n">
        <f aca="false">LN(H24)</f>
        <v>8.9237243977064</v>
      </c>
      <c r="N24" s="28" t="n">
        <f aca="false">(C24-'Raw Data'!D25)/'Raw Data'!D25</f>
        <v>0.0664192949907236</v>
      </c>
      <c r="O24" s="28" t="n">
        <f aca="false">I24/H24</f>
        <v>0.390649973361747</v>
      </c>
      <c r="P24" s="27" t="n">
        <f aca="false">'Raw Data'!L26</f>
        <v>5.28</v>
      </c>
    </row>
    <row r="25" customFormat="false" ht="15" hidden="false" customHeight="false" outlineLevel="0" collapsed="false">
      <c r="A25" s="12" t="s">
        <v>42</v>
      </c>
      <c r="B25" s="12" t="s">
        <v>77</v>
      </c>
      <c r="C25" s="22" t="n">
        <f aca="false">'Raw Data'!D28</f>
        <v>2001</v>
      </c>
      <c r="D25" s="22" t="n">
        <f aca="false">'Raw Data'!E28</f>
        <v>396</v>
      </c>
      <c r="E25" s="22" t="n">
        <f aca="false">'Raw Data'!F28</f>
        <v>238</v>
      </c>
      <c r="F25" s="22" t="n">
        <f aca="false">'Raw Data'!G28+'Raw Data'!H28</f>
        <v>613</v>
      </c>
      <c r="G25" s="22" t="n">
        <f aca="false">'Raw Data'!I28</f>
        <v>340</v>
      </c>
      <c r="H25" s="22" t="n">
        <f aca="false">'Raw Data'!J28</f>
        <v>1283</v>
      </c>
      <c r="I25" s="22" t="n">
        <f aca="false">'Raw Data'!K28</f>
        <v>466</v>
      </c>
      <c r="J25" s="23" t="n">
        <f aca="false">G25/F25</f>
        <v>0.554649265905383</v>
      </c>
      <c r="K25" s="24" t="n">
        <f aca="false">E25/F25</f>
        <v>0.388254486133768</v>
      </c>
      <c r="L25" s="24" t="n">
        <f aca="false">E25/H25</f>
        <v>0.185502727981294</v>
      </c>
      <c r="M25" s="25" t="n">
        <f aca="false">LN(H25)</f>
        <v>7.15695636461564</v>
      </c>
      <c r="N25" s="24" t="n">
        <f aca="false">(C25-'Raw Data'!D27)/'Raw Data'!D27</f>
        <v>0.238242574257426</v>
      </c>
      <c r="O25" s="24" t="n">
        <f aca="false">I25/H25</f>
        <v>0.363211223694466</v>
      </c>
      <c r="P25" s="23" t="n">
        <f aca="false">'Raw Data'!L28</f>
        <v>12.04</v>
      </c>
    </row>
    <row r="26" customFormat="false" ht="15" hidden="false" customHeight="false" outlineLevel="0" collapsed="false">
      <c r="A26" s="12" t="s">
        <v>42</v>
      </c>
      <c r="B26" s="12" t="s">
        <v>78</v>
      </c>
      <c r="C26" s="22" t="n">
        <f aca="false">'Raw Data'!D29</f>
        <v>1990</v>
      </c>
      <c r="D26" s="22" t="n">
        <f aca="false">'Raw Data'!E29</f>
        <v>325</v>
      </c>
      <c r="E26" s="22" t="n">
        <f aca="false">'Raw Data'!F29</f>
        <v>228</v>
      </c>
      <c r="F26" s="22" t="n">
        <f aca="false">'Raw Data'!G29+'Raw Data'!H29</f>
        <v>826</v>
      </c>
      <c r="G26" s="22" t="n">
        <f aca="false">'Raw Data'!I29</f>
        <v>267</v>
      </c>
      <c r="H26" s="22" t="n">
        <f aca="false">'Raw Data'!J29</f>
        <v>1440</v>
      </c>
      <c r="I26" s="22" t="n">
        <f aca="false">'Raw Data'!K29</f>
        <v>511</v>
      </c>
      <c r="J26" s="23" t="n">
        <f aca="false">G26/F26</f>
        <v>0.323244552058111</v>
      </c>
      <c r="K26" s="24" t="n">
        <f aca="false">E26/F26</f>
        <v>0.276029055690073</v>
      </c>
      <c r="L26" s="24" t="n">
        <f aca="false">E26/H26</f>
        <v>0.158333333333333</v>
      </c>
      <c r="M26" s="25" t="n">
        <f aca="false">LN(H26)</f>
        <v>7.27239839257005</v>
      </c>
      <c r="N26" s="24" t="n">
        <f aca="false">(C26-'Raw Data'!D28)/'Raw Data'!D28</f>
        <v>-0.00549725137431284</v>
      </c>
      <c r="O26" s="24" t="n">
        <f aca="false">I26/H26</f>
        <v>0.354861111111111</v>
      </c>
      <c r="P26" s="23" t="n">
        <f aca="false">'Raw Data'!L29</f>
        <v>11.55</v>
      </c>
    </row>
    <row r="27" customFormat="false" ht="15" hidden="false" customHeight="false" outlineLevel="0" collapsed="false">
      <c r="A27" s="12" t="s">
        <v>42</v>
      </c>
      <c r="B27" s="12" t="s">
        <v>79</v>
      </c>
      <c r="C27" s="22" t="n">
        <f aca="false">'Raw Data'!D30</f>
        <v>1709</v>
      </c>
      <c r="D27" s="22" t="n">
        <f aca="false">'Raw Data'!E30</f>
        <v>167</v>
      </c>
      <c r="E27" s="22" t="n">
        <f aca="false">'Raw Data'!F30</f>
        <v>131</v>
      </c>
      <c r="F27" s="22" t="n">
        <f aca="false">'Raw Data'!G30+'Raw Data'!H30</f>
        <v>938</v>
      </c>
      <c r="G27" s="22" t="n">
        <f aca="false">'Raw Data'!I30</f>
        <v>371</v>
      </c>
      <c r="H27" s="22" t="n">
        <f aca="false">'Raw Data'!J30</f>
        <v>1644</v>
      </c>
      <c r="I27" s="22" t="n">
        <f aca="false">'Raw Data'!K30</f>
        <v>535</v>
      </c>
      <c r="J27" s="23" t="n">
        <f aca="false">G27/F27</f>
        <v>0.395522388059701</v>
      </c>
      <c r="K27" s="24" t="n">
        <f aca="false">E27/F27</f>
        <v>0.139658848614073</v>
      </c>
      <c r="L27" s="24" t="n">
        <f aca="false">E27/H27</f>
        <v>0.079683698296837</v>
      </c>
      <c r="M27" s="25" t="n">
        <f aca="false">LN(H27)</f>
        <v>7.40488757561613</v>
      </c>
      <c r="N27" s="24" t="n">
        <f aca="false">(C27-'Raw Data'!D29)/'Raw Data'!D29</f>
        <v>-0.141206030150754</v>
      </c>
      <c r="O27" s="24" t="n">
        <f aca="false">I27/H27</f>
        <v>0.325425790754258</v>
      </c>
      <c r="P27" s="23" t="n">
        <f aca="false">'Raw Data'!L30</f>
        <v>6.64</v>
      </c>
    </row>
    <row r="28" customFormat="false" ht="15" hidden="false" customHeight="false" outlineLevel="0" collapsed="false">
      <c r="A28" s="12" t="s">
        <v>42</v>
      </c>
      <c r="B28" s="12" t="s">
        <v>80</v>
      </c>
      <c r="C28" s="22" t="n">
        <f aca="false">'Raw Data'!D31</f>
        <v>1813</v>
      </c>
      <c r="D28" s="22" t="n">
        <f aca="false">'Raw Data'!E31</f>
        <v>151</v>
      </c>
      <c r="E28" s="22" t="n">
        <f aca="false">'Raw Data'!F31</f>
        <v>59</v>
      </c>
      <c r="F28" s="22" t="n">
        <f aca="false">'Raw Data'!G31+'Raw Data'!H31</f>
        <v>960</v>
      </c>
      <c r="G28" s="22" t="n">
        <f aca="false">'Raw Data'!I31</f>
        <v>309</v>
      </c>
      <c r="H28" s="22" t="n">
        <f aca="false">'Raw Data'!J31</f>
        <v>1552</v>
      </c>
      <c r="I28" s="22" t="n">
        <f aca="false">'Raw Data'!K31</f>
        <v>560</v>
      </c>
      <c r="J28" s="23" t="n">
        <f aca="false">G28/F28</f>
        <v>0.321875</v>
      </c>
      <c r="K28" s="24" t="n">
        <f aca="false">E28/F28</f>
        <v>0.0614583333333333</v>
      </c>
      <c r="L28" s="24" t="n">
        <f aca="false">E28/H28</f>
        <v>0.0380154639175258</v>
      </c>
      <c r="M28" s="25" t="n">
        <f aca="false">LN(H28)</f>
        <v>7.34729970074316</v>
      </c>
      <c r="N28" s="24" t="n">
        <f aca="false">(C28-'Raw Data'!D30)/'Raw Data'!D30</f>
        <v>0.0608543007606788</v>
      </c>
      <c r="O28" s="24" t="n">
        <f aca="false">I28/H28</f>
        <v>0.360824742268041</v>
      </c>
      <c r="P28" s="23" t="n">
        <f aca="false">'Raw Data'!L31</f>
        <v>3</v>
      </c>
    </row>
    <row r="29" customFormat="false" ht="15" hidden="false" customHeight="false" outlineLevel="0" collapsed="false">
      <c r="A29" s="12" t="s">
        <v>42</v>
      </c>
      <c r="B29" s="12" t="s">
        <v>81</v>
      </c>
      <c r="C29" s="22" t="n">
        <f aca="false">'Raw Data'!D32</f>
        <v>1965</v>
      </c>
      <c r="D29" s="22" t="n">
        <f aca="false">'Raw Data'!E32</f>
        <v>178</v>
      </c>
      <c r="E29" s="22" t="n">
        <f aca="false">'Raw Data'!F32</f>
        <v>74</v>
      </c>
      <c r="F29" s="22" t="n">
        <f aca="false">'Raw Data'!G32+'Raw Data'!H32</f>
        <v>972</v>
      </c>
      <c r="G29" s="22" t="n">
        <f aca="false">'Raw Data'!I32</f>
        <v>348</v>
      </c>
      <c r="H29" s="22" t="n">
        <f aca="false">'Raw Data'!J32</f>
        <v>1659</v>
      </c>
      <c r="I29" s="22" t="n">
        <f aca="false">'Raw Data'!K32</f>
        <v>553</v>
      </c>
      <c r="J29" s="23" t="n">
        <f aca="false">G29/F29</f>
        <v>0.358024691358025</v>
      </c>
      <c r="K29" s="24" t="n">
        <f aca="false">E29/F29</f>
        <v>0.0761316872427984</v>
      </c>
      <c r="L29" s="24" t="n">
        <f aca="false">E29/H29</f>
        <v>0.0446051838456902</v>
      </c>
      <c r="M29" s="25" t="n">
        <f aca="false">LN(H29)</f>
        <v>7.41397029019044</v>
      </c>
      <c r="N29" s="24" t="n">
        <f aca="false">(C29-'Raw Data'!D31)/'Raw Data'!D31</f>
        <v>0.0838389409817981</v>
      </c>
      <c r="O29" s="24" t="n">
        <f aca="false">I29/H29</f>
        <v>0.333333333333333</v>
      </c>
      <c r="P29" s="23" t="n">
        <f aca="false">'Raw Data'!L32</f>
        <v>3.74</v>
      </c>
    </row>
    <row r="30" customFormat="false" ht="15" hidden="false" customHeight="false" outlineLevel="0" collapsed="false">
      <c r="A30" s="12" t="s">
        <v>42</v>
      </c>
      <c r="B30" s="12" t="s">
        <v>82</v>
      </c>
      <c r="C30" s="22" t="n">
        <f aca="false">'Raw Data'!D33</f>
        <v>2515</v>
      </c>
      <c r="D30" s="22" t="n">
        <f aca="false">'Raw Data'!E33</f>
        <v>384</v>
      </c>
      <c r="E30" s="22" t="n">
        <f aca="false">'Raw Data'!F33</f>
        <v>260</v>
      </c>
      <c r="F30" s="22" t="n">
        <f aca="false">'Raw Data'!G33+'Raw Data'!H33</f>
        <v>1274</v>
      </c>
      <c r="G30" s="22" t="n">
        <f aca="false">'Raw Data'!I33</f>
        <v>546</v>
      </c>
      <c r="H30" s="22" t="n">
        <f aca="false">'Raw Data'!J33</f>
        <v>2247</v>
      </c>
      <c r="I30" s="22" t="n">
        <f aca="false">'Raw Data'!K33</f>
        <v>543</v>
      </c>
      <c r="J30" s="23" t="n">
        <f aca="false">G30/F30</f>
        <v>0.428571428571429</v>
      </c>
      <c r="K30" s="24" t="n">
        <f aca="false">E30/F30</f>
        <v>0.204081632653061</v>
      </c>
      <c r="L30" s="24" t="n">
        <f aca="false">E30/H30</f>
        <v>0.115709835336004</v>
      </c>
      <c r="M30" s="25" t="n">
        <f aca="false">LN(H30)</f>
        <v>7.71735127218533</v>
      </c>
      <c r="N30" s="24" t="n">
        <f aca="false">(C30-'Raw Data'!D32)/'Raw Data'!D32</f>
        <v>0.279898218829517</v>
      </c>
      <c r="O30" s="24" t="n">
        <f aca="false">I30/H30</f>
        <v>0.241655540720961</v>
      </c>
      <c r="P30" s="23" t="n">
        <f aca="false">'Raw Data'!L33</f>
        <v>13.18</v>
      </c>
    </row>
    <row r="31" customFormat="false" ht="15" hidden="false" customHeight="false" outlineLevel="0" collapsed="false">
      <c r="A31" s="12" t="s">
        <v>42</v>
      </c>
      <c r="B31" s="12" t="s">
        <v>83</v>
      </c>
      <c r="C31" s="22" t="n">
        <f aca="false">'Raw Data'!D34</f>
        <v>2806</v>
      </c>
      <c r="D31" s="22" t="n">
        <f aca="false">'Raw Data'!E34</f>
        <v>402</v>
      </c>
      <c r="E31" s="22" t="n">
        <f aca="false">'Raw Data'!F34</f>
        <v>339</v>
      </c>
      <c r="F31" s="22" t="n">
        <f aca="false">'Raw Data'!G34+'Raw Data'!H34</f>
        <v>1576</v>
      </c>
      <c r="G31" s="22" t="n">
        <f aca="false">'Raw Data'!I34</f>
        <v>1214</v>
      </c>
      <c r="H31" s="22" t="n">
        <f aca="false">'Raw Data'!J34</f>
        <v>3090</v>
      </c>
      <c r="I31" s="22" t="n">
        <f aca="false">'Raw Data'!K34</f>
        <v>650</v>
      </c>
      <c r="J31" s="23" t="n">
        <f aca="false">G31/F31</f>
        <v>0.770304568527919</v>
      </c>
      <c r="K31" s="24" t="n">
        <f aca="false">E31/F31</f>
        <v>0.21510152284264</v>
      </c>
      <c r="L31" s="24" t="n">
        <f aca="false">E31/H31</f>
        <v>0.109708737864078</v>
      </c>
      <c r="M31" s="25" t="n">
        <f aca="false">LN(H31)</f>
        <v>8.03592636989179</v>
      </c>
      <c r="N31" s="24" t="n">
        <f aca="false">(C31-'Raw Data'!D33)/'Raw Data'!D33</f>
        <v>0.115705765407555</v>
      </c>
      <c r="O31" s="24" t="n">
        <f aca="false">I31/H31</f>
        <v>0.210355987055016</v>
      </c>
      <c r="P31" s="23" t="n">
        <f aca="false">'Raw Data'!L34</f>
        <v>17.16</v>
      </c>
    </row>
    <row r="32" customFormat="false" ht="15" hidden="false" customHeight="false" outlineLevel="0" collapsed="false">
      <c r="A32" s="12" t="s">
        <v>42</v>
      </c>
      <c r="B32" s="12" t="s">
        <v>84</v>
      </c>
      <c r="C32" s="22" t="n">
        <f aca="false">'Raw Data'!D35</f>
        <v>2784</v>
      </c>
      <c r="D32" s="22" t="n">
        <f aca="false">'Raw Data'!E35</f>
        <v>411</v>
      </c>
      <c r="E32" s="22" t="n">
        <f aca="false">'Raw Data'!F35</f>
        <v>238</v>
      </c>
      <c r="F32" s="22" t="n">
        <f aca="false">'Raw Data'!G35+'Raw Data'!H35</f>
        <v>1765</v>
      </c>
      <c r="G32" s="22" t="n">
        <f aca="false">'Raw Data'!I35</f>
        <v>853</v>
      </c>
      <c r="H32" s="22" t="n">
        <f aca="false">'Raw Data'!J35</f>
        <v>2983</v>
      </c>
      <c r="I32" s="22" t="n">
        <f aca="false">'Raw Data'!K35</f>
        <v>1243</v>
      </c>
      <c r="J32" s="23" t="n">
        <f aca="false">G32/F32</f>
        <v>0.48328611898017</v>
      </c>
      <c r="K32" s="24" t="n">
        <f aca="false">E32/F32</f>
        <v>0.134844192634561</v>
      </c>
      <c r="L32" s="24" t="n">
        <f aca="false">E32/H32</f>
        <v>0.0797854508883674</v>
      </c>
      <c r="M32" s="25" t="n">
        <f aca="false">LN(H32)</f>
        <v>8.00068478451475</v>
      </c>
      <c r="N32" s="24" t="n">
        <f aca="false">(C32-'Raw Data'!D34)/'Raw Data'!D34</f>
        <v>-0.00784034212401996</v>
      </c>
      <c r="O32" s="24" t="n">
        <f aca="false">I32/H32</f>
        <v>0.416694602748911</v>
      </c>
      <c r="P32" s="23" t="n">
        <f aca="false">'Raw Data'!L35</f>
        <v>12.03</v>
      </c>
    </row>
    <row r="33" customFormat="false" ht="15" hidden="false" customHeight="false" outlineLevel="0" collapsed="false">
      <c r="A33" s="12" t="s">
        <v>42</v>
      </c>
      <c r="B33" s="12" t="s">
        <v>85</v>
      </c>
      <c r="C33" s="22" t="n">
        <f aca="false">'Raw Data'!D36</f>
        <v>3332</v>
      </c>
      <c r="D33" s="22" t="n">
        <f aca="false">'Raw Data'!E36</f>
        <v>526</v>
      </c>
      <c r="E33" s="22" t="n">
        <f aca="false">'Raw Data'!F36</f>
        <v>320</v>
      </c>
      <c r="F33" s="22" t="n">
        <f aca="false">'Raw Data'!G36+'Raw Data'!H36</f>
        <v>2048</v>
      </c>
      <c r="G33" s="22" t="n">
        <f aca="false">'Raw Data'!I36</f>
        <v>936</v>
      </c>
      <c r="H33" s="22" t="n">
        <f aca="false">'Raw Data'!J36</f>
        <v>3493</v>
      </c>
      <c r="I33" s="22" t="n">
        <f aca="false">'Raw Data'!K36</f>
        <v>1344</v>
      </c>
      <c r="J33" s="23" t="n">
        <f aca="false">G33/F33</f>
        <v>0.45703125</v>
      </c>
      <c r="K33" s="24" t="n">
        <f aca="false">E33/F33</f>
        <v>0.15625</v>
      </c>
      <c r="L33" s="24" t="n">
        <f aca="false">E33/H33</f>
        <v>0.0916117950186087</v>
      </c>
      <c r="M33" s="25" t="n">
        <f aca="false">LN(H33)</f>
        <v>8.15851624480683</v>
      </c>
      <c r="N33" s="24" t="n">
        <f aca="false">(C33-'Raw Data'!D35)/'Raw Data'!D35</f>
        <v>0.19683908045977</v>
      </c>
      <c r="O33" s="24" t="n">
        <f aca="false">I33/H33</f>
        <v>0.384769539078156</v>
      </c>
      <c r="P33" s="23" t="n">
        <f aca="false">'Raw Data'!L36</f>
        <v>16.17</v>
      </c>
    </row>
    <row r="34" customFormat="false" ht="15" hidden="false" customHeight="false" outlineLevel="0" collapsed="false">
      <c r="A34" s="12" t="s">
        <v>42</v>
      </c>
      <c r="B34" s="12" t="s">
        <v>86</v>
      </c>
      <c r="C34" s="22" t="n">
        <f aca="false">'Raw Data'!D37</f>
        <v>3772</v>
      </c>
      <c r="D34" s="22" t="n">
        <f aca="false">'Raw Data'!E37</f>
        <v>465</v>
      </c>
      <c r="E34" s="22" t="n">
        <f aca="false">'Raw Data'!F37</f>
        <v>237</v>
      </c>
      <c r="F34" s="22" t="n">
        <f aca="false">'Raw Data'!G37+'Raw Data'!H37</f>
        <v>2237</v>
      </c>
      <c r="G34" s="22" t="n">
        <f aca="false">'Raw Data'!I37</f>
        <v>1061</v>
      </c>
      <c r="H34" s="22" t="n">
        <f aca="false">'Raw Data'!J37</f>
        <v>3695</v>
      </c>
      <c r="I34" s="22" t="n">
        <f aca="false">'Raw Data'!K37</f>
        <v>1381</v>
      </c>
      <c r="J34" s="23" t="n">
        <f aca="false">G34/F34</f>
        <v>0.474295932051855</v>
      </c>
      <c r="K34" s="24" t="n">
        <f aca="false">E34/F34</f>
        <v>0.105945462673223</v>
      </c>
      <c r="L34" s="24" t="n">
        <f aca="false">E34/H34</f>
        <v>0.0641407307171854</v>
      </c>
      <c r="M34" s="25" t="n">
        <f aca="false">LN(H34)</f>
        <v>8.2147358333823</v>
      </c>
      <c r="N34" s="24" t="n">
        <f aca="false">(C34-'Raw Data'!D36)/'Raw Data'!D36</f>
        <v>0.132052821128451</v>
      </c>
      <c r="O34" s="24" t="n">
        <f aca="false">I34/H34</f>
        <v>0.373748308525034</v>
      </c>
      <c r="P34" s="23" t="n">
        <f aca="false">'Raw Data'!L37</f>
        <v>11.98</v>
      </c>
    </row>
    <row r="35" customFormat="false" ht="15" hidden="false" customHeight="false" outlineLevel="0" collapsed="false">
      <c r="A35" s="15" t="s">
        <v>43</v>
      </c>
      <c r="B35" s="15" t="s">
        <v>77</v>
      </c>
      <c r="C35" s="26" t="n">
        <f aca="false">'Raw Data'!D39</f>
        <v>5602</v>
      </c>
      <c r="D35" s="26" t="n">
        <f aca="false">'Raw Data'!E39</f>
        <v>1108</v>
      </c>
      <c r="E35" s="26" t="n">
        <f aca="false">'Raw Data'!F39</f>
        <v>676</v>
      </c>
      <c r="F35" s="26" t="n">
        <f aca="false">'Raw Data'!G39+'Raw Data'!H39</f>
        <v>3690</v>
      </c>
      <c r="G35" s="26" t="n">
        <f aca="false">'Raw Data'!I39</f>
        <v>2596</v>
      </c>
      <c r="H35" s="26" t="n">
        <f aca="false">'Raw Data'!J39</f>
        <v>6985</v>
      </c>
      <c r="I35" s="26" t="n">
        <f aca="false">'Raw Data'!K39</f>
        <v>2585</v>
      </c>
      <c r="J35" s="27" t="n">
        <f aca="false">G35/F35</f>
        <v>0.703523035230352</v>
      </c>
      <c r="K35" s="28" t="n">
        <f aca="false">E35/F35</f>
        <v>0.18319783197832</v>
      </c>
      <c r="L35" s="28" t="n">
        <f aca="false">E35/H35</f>
        <v>0.0967788117394417</v>
      </c>
      <c r="M35" s="29" t="n">
        <f aca="false">LN(H35)</f>
        <v>8.85152027169106</v>
      </c>
      <c r="N35" s="28" t="n">
        <f aca="false">(C35-'Raw Data'!D38)/'Raw Data'!D38</f>
        <v>-0.0223385689354276</v>
      </c>
      <c r="O35" s="28" t="n">
        <f aca="false">I35/H35</f>
        <v>0.37007874015748</v>
      </c>
      <c r="P35" s="27" t="n">
        <f aca="false">'Raw Data'!L39</f>
        <v>21.25</v>
      </c>
    </row>
    <row r="36" customFormat="false" ht="15" hidden="false" customHeight="false" outlineLevel="0" collapsed="false">
      <c r="A36" s="15" t="s">
        <v>43</v>
      </c>
      <c r="B36" s="15" t="s">
        <v>78</v>
      </c>
      <c r="C36" s="26" t="n">
        <f aca="false">'Raw Data'!D40</f>
        <v>5691</v>
      </c>
      <c r="D36" s="26" t="n">
        <f aca="false">'Raw Data'!E40</f>
        <v>1131</v>
      </c>
      <c r="E36" s="26" t="n">
        <f aca="false">'Raw Data'!F40</f>
        <v>1002</v>
      </c>
      <c r="F36" s="26" t="n">
        <f aca="false">'Raw Data'!G40+'Raw Data'!H40</f>
        <v>3986</v>
      </c>
      <c r="G36" s="26" t="n">
        <f aca="false">'Raw Data'!I40</f>
        <v>2198</v>
      </c>
      <c r="H36" s="26" t="n">
        <f aca="false">'Raw Data'!J40</f>
        <v>6959</v>
      </c>
      <c r="I36" s="26" t="n">
        <f aca="false">'Raw Data'!K40</f>
        <v>2507</v>
      </c>
      <c r="J36" s="27" t="n">
        <f aca="false">G36/F36</f>
        <v>0.551430005017562</v>
      </c>
      <c r="K36" s="28" t="n">
        <f aca="false">E36/F36</f>
        <v>0.25137982940291</v>
      </c>
      <c r="L36" s="28" t="n">
        <f aca="false">E36/H36</f>
        <v>0.143986204914499</v>
      </c>
      <c r="M36" s="29" t="n">
        <f aca="false">LN(H36)</f>
        <v>8.84779106484485</v>
      </c>
      <c r="N36" s="28" t="n">
        <f aca="false">(C36-'Raw Data'!D39)/'Raw Data'!D39</f>
        <v>0.0158871831488754</v>
      </c>
      <c r="O36" s="28" t="n">
        <f aca="false">I36/H36</f>
        <v>0.360252909900848</v>
      </c>
      <c r="P36" s="27" t="n">
        <f aca="false">'Raw Data'!L40</f>
        <v>34.87</v>
      </c>
    </row>
    <row r="37" customFormat="false" ht="15" hidden="false" customHeight="false" outlineLevel="0" collapsed="false">
      <c r="A37" s="15" t="s">
        <v>43</v>
      </c>
      <c r="B37" s="15" t="s">
        <v>79</v>
      </c>
      <c r="C37" s="26" t="n">
        <f aca="false">'Raw Data'!D41</f>
        <v>5851</v>
      </c>
      <c r="D37" s="26" t="n">
        <f aca="false">'Raw Data'!E41</f>
        <v>859</v>
      </c>
      <c r="E37" s="26" t="n">
        <f aca="false">'Raw Data'!F41</f>
        <v>546</v>
      </c>
      <c r="F37" s="26" t="n">
        <f aca="false">'Raw Data'!G41+'Raw Data'!H41</f>
        <v>4632</v>
      </c>
      <c r="G37" s="26" t="n">
        <f aca="false">'Raw Data'!I41</f>
        <v>2282</v>
      </c>
      <c r="H37" s="26" t="n">
        <f aca="false">'Raw Data'!J41</f>
        <v>7696</v>
      </c>
      <c r="I37" s="26" t="n">
        <f aca="false">'Raw Data'!K41</f>
        <v>2612</v>
      </c>
      <c r="J37" s="27" t="n">
        <f aca="false">G37/F37</f>
        <v>0.4926597582038</v>
      </c>
      <c r="K37" s="28" t="n">
        <f aca="false">E37/F37</f>
        <v>0.117875647668394</v>
      </c>
      <c r="L37" s="28" t="n">
        <f aca="false">E37/H37</f>
        <v>0.0709459459459459</v>
      </c>
      <c r="M37" s="29" t="n">
        <f aca="false">LN(H37)</f>
        <v>8.94845599234554</v>
      </c>
      <c r="N37" s="28" t="n">
        <f aca="false">(C37-'Raw Data'!D40)/'Raw Data'!D40</f>
        <v>0.0281145668599543</v>
      </c>
      <c r="O37" s="28" t="n">
        <f aca="false">I37/H37</f>
        <v>0.339397089397089</v>
      </c>
      <c r="P37" s="27" t="n">
        <f aca="false">'Raw Data'!L41</f>
        <v>19</v>
      </c>
    </row>
    <row r="38" customFormat="false" ht="15" hidden="false" customHeight="false" outlineLevel="0" collapsed="false">
      <c r="A38" s="15" t="s">
        <v>43</v>
      </c>
      <c r="B38" s="15" t="s">
        <v>80</v>
      </c>
      <c r="C38" s="26" t="n">
        <f aca="false">'Raw Data'!D42</f>
        <v>6415</v>
      </c>
      <c r="D38" s="26" t="n">
        <f aca="false">'Raw Data'!E42</f>
        <v>1132</v>
      </c>
      <c r="E38" s="26" t="n">
        <f aca="false">'Raw Data'!F42</f>
        <v>696</v>
      </c>
      <c r="F38" s="26" t="n">
        <f aca="false">'Raw Data'!G42+'Raw Data'!H42</f>
        <v>5239</v>
      </c>
      <c r="G38" s="26" t="n">
        <f aca="false">'Raw Data'!I42</f>
        <v>2238</v>
      </c>
      <c r="H38" s="26" t="n">
        <f aca="false">'Raw Data'!J42</f>
        <v>8369</v>
      </c>
      <c r="I38" s="26" t="n">
        <f aca="false">'Raw Data'!K42</f>
        <v>3333</v>
      </c>
      <c r="J38" s="27" t="n">
        <f aca="false">G38/F38</f>
        <v>0.427180759686963</v>
      </c>
      <c r="K38" s="28" t="n">
        <f aca="false">E38/F38</f>
        <v>0.13284978049246</v>
      </c>
      <c r="L38" s="28" t="n">
        <f aca="false">E38/H38</f>
        <v>0.083164057832477</v>
      </c>
      <c r="M38" s="29" t="n">
        <f aca="false">LN(H38)</f>
        <v>9.03228968203287</v>
      </c>
      <c r="N38" s="28" t="n">
        <f aca="false">(C38-'Raw Data'!D41)/'Raw Data'!D41</f>
        <v>0.0963937788412237</v>
      </c>
      <c r="O38" s="28" t="n">
        <f aca="false">I38/H38</f>
        <v>0.398255466602939</v>
      </c>
      <c r="P38" s="27" t="n">
        <f aca="false">'Raw Data'!L42</f>
        <v>24.21</v>
      </c>
    </row>
    <row r="39" customFormat="false" ht="15" hidden="false" customHeight="false" outlineLevel="0" collapsed="false">
      <c r="A39" s="15" t="s">
        <v>43</v>
      </c>
      <c r="B39" s="15" t="s">
        <v>81</v>
      </c>
      <c r="C39" s="26" t="n">
        <f aca="false">'Raw Data'!D43</f>
        <v>6325</v>
      </c>
      <c r="D39" s="26" t="n">
        <f aca="false">'Raw Data'!E43</f>
        <v>883</v>
      </c>
      <c r="E39" s="26" t="n">
        <f aca="false">'Raw Data'!F43</f>
        <v>545</v>
      </c>
      <c r="F39" s="26" t="n">
        <f aca="false">'Raw Data'!G43+'Raw Data'!H43</f>
        <v>5667</v>
      </c>
      <c r="G39" s="26" t="n">
        <f aca="false">'Raw Data'!I43</f>
        <v>2197</v>
      </c>
      <c r="H39" s="26" t="n">
        <f aca="false">'Raw Data'!J43</f>
        <v>8727</v>
      </c>
      <c r="I39" s="26" t="n">
        <f aca="false">'Raw Data'!K43</f>
        <v>3620</v>
      </c>
      <c r="J39" s="27" t="n">
        <f aca="false">G39/F39</f>
        <v>0.387683077466031</v>
      </c>
      <c r="K39" s="28" t="n">
        <f aca="false">E39/F39</f>
        <v>0.0961708134815599</v>
      </c>
      <c r="L39" s="28" t="n">
        <f aca="false">E39/H39</f>
        <v>0.0624498682250487</v>
      </c>
      <c r="M39" s="29" t="n">
        <f aca="false">LN(H39)</f>
        <v>9.07417694716331</v>
      </c>
      <c r="N39" s="28" t="n">
        <f aca="false">(C39-'Raw Data'!D42)/'Raw Data'!D42</f>
        <v>-0.0140296180826189</v>
      </c>
      <c r="O39" s="28" t="n">
        <f aca="false">I39/H39</f>
        <v>0.414804629311333</v>
      </c>
      <c r="P39" s="27" t="n">
        <f aca="false">'Raw Data'!L43</f>
        <v>18.97</v>
      </c>
    </row>
    <row r="40" customFormat="false" ht="15" hidden="false" customHeight="false" outlineLevel="0" collapsed="false">
      <c r="A40" s="15" t="s">
        <v>43</v>
      </c>
      <c r="B40" s="15" t="s">
        <v>82</v>
      </c>
      <c r="C40" s="26" t="n">
        <f aca="false">'Raw Data'!D44</f>
        <v>5926</v>
      </c>
      <c r="D40" s="26" t="n">
        <f aca="false">'Raw Data'!E44</f>
        <v>767</v>
      </c>
      <c r="E40" s="26" t="n">
        <f aca="false">'Raw Data'!F44</f>
        <v>367</v>
      </c>
      <c r="F40" s="26" t="n">
        <f aca="false">'Raw Data'!G44+'Raw Data'!H44</f>
        <v>6139</v>
      </c>
      <c r="G40" s="26" t="n">
        <f aca="false">'Raw Data'!I44</f>
        <v>2132</v>
      </c>
      <c r="H40" s="26" t="n">
        <f aca="false">'Raw Data'!J44</f>
        <v>9064</v>
      </c>
      <c r="I40" s="26" t="n">
        <f aca="false">'Raw Data'!K44</f>
        <v>3546</v>
      </c>
      <c r="J40" s="27" t="n">
        <f aca="false">G40/F40</f>
        <v>0.347287831894445</v>
      </c>
      <c r="K40" s="28" t="n">
        <f aca="false">E40/F40</f>
        <v>0.0597817234077211</v>
      </c>
      <c r="L40" s="28" t="n">
        <f aca="false">E40/H40</f>
        <v>0.0404898499558694</v>
      </c>
      <c r="M40" s="29" t="n">
        <f aca="false">LN(H40)</f>
        <v>9.11206580270784</v>
      </c>
      <c r="N40" s="28" t="n">
        <f aca="false">(C40-'Raw Data'!D43)/'Raw Data'!D43</f>
        <v>-0.0630830039525692</v>
      </c>
      <c r="O40" s="28" t="n">
        <f aca="false">I40/H40</f>
        <v>0.391218005295675</v>
      </c>
      <c r="P40" s="27" t="n">
        <f aca="false">'Raw Data'!L44</f>
        <v>12.74</v>
      </c>
    </row>
    <row r="41" customFormat="false" ht="15" hidden="false" customHeight="false" outlineLevel="0" collapsed="false">
      <c r="A41" s="15" t="s">
        <v>43</v>
      </c>
      <c r="B41" s="15" t="s">
        <v>83</v>
      </c>
      <c r="C41" s="26" t="n">
        <f aca="false">'Raw Data'!D45</f>
        <v>9386</v>
      </c>
      <c r="D41" s="26" t="n">
        <f aca="false">'Raw Data'!E45</f>
        <v>2262</v>
      </c>
      <c r="E41" s="26" t="n">
        <f aca="false">'Raw Data'!F45</f>
        <v>1677</v>
      </c>
      <c r="F41" s="26" t="n">
        <f aca="false">'Raw Data'!G45+'Raw Data'!H45</f>
        <v>7539</v>
      </c>
      <c r="G41" s="26" t="n">
        <f aca="false">'Raw Data'!I45</f>
        <v>1980</v>
      </c>
      <c r="H41" s="26" t="n">
        <f aca="false">'Raw Data'!J45</f>
        <v>10576</v>
      </c>
      <c r="I41" s="26" t="n">
        <f aca="false">'Raw Data'!K45</f>
        <v>3677</v>
      </c>
      <c r="J41" s="27" t="n">
        <f aca="false">G41/F41</f>
        <v>0.262634301631516</v>
      </c>
      <c r="K41" s="28" t="n">
        <f aca="false">E41/F41</f>
        <v>0.222443294866693</v>
      </c>
      <c r="L41" s="28" t="n">
        <f aca="false">E41/H41</f>
        <v>0.15856656580938</v>
      </c>
      <c r="M41" s="29" t="n">
        <f aca="false">LN(H41)</f>
        <v>9.26634256209147</v>
      </c>
      <c r="N41" s="28" t="n">
        <f aca="false">(C41-'Raw Data'!D44)/'Raw Data'!D44</f>
        <v>0.583867701653729</v>
      </c>
      <c r="O41" s="28" t="n">
        <f aca="false">I41/H41</f>
        <v>0.34767397881997</v>
      </c>
      <c r="P41" s="27" t="n">
        <f aca="false">'Raw Data'!L45</f>
        <v>58.07</v>
      </c>
    </row>
    <row r="42" customFormat="false" ht="15" hidden="false" customHeight="false" outlineLevel="0" collapsed="false">
      <c r="A42" s="15" t="s">
        <v>43</v>
      </c>
      <c r="B42" s="15" t="s">
        <v>84</v>
      </c>
      <c r="C42" s="26" t="n">
        <f aca="false">'Raw Data'!D46</f>
        <v>9841</v>
      </c>
      <c r="D42" s="26" t="n">
        <f aca="false">'Raw Data'!E46</f>
        <v>1285</v>
      </c>
      <c r="E42" s="26" t="n">
        <f aca="false">'Raw Data'!F46</f>
        <v>749</v>
      </c>
      <c r="F42" s="26" t="n">
        <f aca="false">'Raw Data'!G46+'Raw Data'!H46</f>
        <v>8294</v>
      </c>
      <c r="G42" s="26" t="n">
        <f aca="false">'Raw Data'!I46</f>
        <v>1677</v>
      </c>
      <c r="H42" s="26" t="n">
        <f aca="false">'Raw Data'!J46</f>
        <v>10861</v>
      </c>
      <c r="I42" s="26" t="n">
        <f aca="false">'Raw Data'!K46</f>
        <v>3927</v>
      </c>
      <c r="J42" s="27" t="n">
        <f aca="false">G42/F42</f>
        <v>0.202194357366771</v>
      </c>
      <c r="K42" s="28" t="n">
        <f aca="false">E42/F42</f>
        <v>0.0903062454786593</v>
      </c>
      <c r="L42" s="28" t="n">
        <f aca="false">E42/H42</f>
        <v>0.0689623423257527</v>
      </c>
      <c r="M42" s="29" t="n">
        <f aca="false">LN(H42)</f>
        <v>9.29293367028004</v>
      </c>
      <c r="N42" s="28" t="n">
        <f aca="false">(C42-'Raw Data'!D45)/'Raw Data'!D45</f>
        <v>0.0484764542936288</v>
      </c>
      <c r="O42" s="28" t="n">
        <f aca="false">I42/H42</f>
        <v>0.361568916306049</v>
      </c>
      <c r="P42" s="27" t="n">
        <f aca="false">'Raw Data'!L46</f>
        <v>25.91</v>
      </c>
    </row>
    <row r="43" customFormat="false" ht="15" hidden="false" customHeight="false" outlineLevel="0" collapsed="false">
      <c r="A43" s="15" t="s">
        <v>43</v>
      </c>
      <c r="B43" s="15" t="s">
        <v>85</v>
      </c>
      <c r="C43" s="26" t="n">
        <f aca="false">'Raw Data'!D47</f>
        <v>9299</v>
      </c>
      <c r="D43" s="26" t="n">
        <f aca="false">'Raw Data'!E47</f>
        <v>958</v>
      </c>
      <c r="E43" s="26" t="n">
        <f aca="false">'Raw Data'!F47</f>
        <v>608</v>
      </c>
      <c r="F43" s="26" t="n">
        <f aca="false">'Raw Data'!G47+'Raw Data'!H47</f>
        <v>8805</v>
      </c>
      <c r="G43" s="26" t="n">
        <f aca="false">'Raw Data'!I47</f>
        <v>1790</v>
      </c>
      <c r="H43" s="26" t="n">
        <f aca="false">'Raw Data'!J47</f>
        <v>11487</v>
      </c>
      <c r="I43" s="26" t="n">
        <f aca="false">'Raw Data'!K47</f>
        <v>3772</v>
      </c>
      <c r="J43" s="27" t="n">
        <f aca="false">G43/F43</f>
        <v>0.203293583191369</v>
      </c>
      <c r="K43" s="28" t="n">
        <f aca="false">E43/F43</f>
        <v>0.0690516751845542</v>
      </c>
      <c r="L43" s="28" t="n">
        <f aca="false">E43/H43</f>
        <v>0.0529293984504222</v>
      </c>
      <c r="M43" s="29" t="n">
        <f aca="false">LN(H43)</f>
        <v>9.34897124014541</v>
      </c>
      <c r="N43" s="28" t="n">
        <f aca="false">(C43-'Raw Data'!D46)/'Raw Data'!D46</f>
        <v>-0.0550757036886495</v>
      </c>
      <c r="O43" s="28" t="n">
        <f aca="false">I43/H43</f>
        <v>0.328371202228606</v>
      </c>
      <c r="P43" s="27" t="n">
        <f aca="false">'Raw Data'!L47</f>
        <v>21.01</v>
      </c>
    </row>
    <row r="44" customFormat="false" ht="15" hidden="false" customHeight="false" outlineLevel="0" collapsed="false">
      <c r="A44" s="15" t="s">
        <v>43</v>
      </c>
      <c r="B44" s="15" t="s">
        <v>86</v>
      </c>
      <c r="C44" s="26" t="n">
        <f aca="false">'Raw Data'!D48</f>
        <v>9587</v>
      </c>
      <c r="D44" s="26" t="n">
        <f aca="false">'Raw Data'!E48</f>
        <v>1257</v>
      </c>
      <c r="E44" s="26" t="n">
        <f aca="false">'Raw Data'!F48</f>
        <v>879</v>
      </c>
      <c r="F44" s="26" t="n">
        <f aca="false">'Raw Data'!G48+'Raw Data'!H48</f>
        <v>9578</v>
      </c>
      <c r="G44" s="26" t="n">
        <f aca="false">'Raw Data'!I48</f>
        <v>1238</v>
      </c>
      <c r="H44" s="26" t="n">
        <f aca="false">'Raw Data'!J48</f>
        <v>11900</v>
      </c>
      <c r="I44" s="26" t="n">
        <f aca="false">'Raw Data'!K48</f>
        <v>4342</v>
      </c>
      <c r="J44" s="27" t="n">
        <f aca="false">G44/F44</f>
        <v>0.129254541657966</v>
      </c>
      <c r="K44" s="28" t="n">
        <f aca="false">E44/F44</f>
        <v>0.0917728126957611</v>
      </c>
      <c r="L44" s="28" t="n">
        <f aca="false">E44/H44</f>
        <v>0.0738655462184874</v>
      </c>
      <c r="M44" s="29" t="n">
        <f aca="false">LN(H44)</f>
        <v>9.38429367909962</v>
      </c>
      <c r="N44" s="28" t="n">
        <f aca="false">(C44-'Raw Data'!D47)/'Raw Data'!D47</f>
        <v>0.0309710721582966</v>
      </c>
      <c r="O44" s="28" t="n">
        <f aca="false">I44/H44</f>
        <v>0.364873949579832</v>
      </c>
      <c r="P44" s="27" t="n">
        <f aca="false">'Raw Data'!L48</f>
        <v>30.4</v>
      </c>
    </row>
    <row r="45" customFormat="false" ht="15" hidden="false" customHeight="false" outlineLevel="0" collapsed="false">
      <c r="A45" s="12" t="s">
        <v>44</v>
      </c>
      <c r="B45" s="12" t="s">
        <v>77</v>
      </c>
      <c r="C45" s="22" t="n">
        <f aca="false">'Raw Data'!D50</f>
        <v>3665</v>
      </c>
      <c r="D45" s="22" t="n">
        <f aca="false">'Raw Data'!E50</f>
        <v>730</v>
      </c>
      <c r="E45" s="22" t="n">
        <f aca="false">'Raw Data'!F50</f>
        <v>242</v>
      </c>
      <c r="F45" s="22" t="n">
        <f aca="false">'Raw Data'!G50+'Raw Data'!H50</f>
        <v>2415</v>
      </c>
      <c r="G45" s="22" t="n">
        <f aca="false">'Raw Data'!I50</f>
        <v>3503</v>
      </c>
      <c r="H45" s="22" t="n">
        <f aca="false">'Raw Data'!J50</f>
        <v>6506</v>
      </c>
      <c r="I45" s="22" t="n">
        <f aca="false">'Raw Data'!K50</f>
        <v>4755</v>
      </c>
      <c r="J45" s="23" t="n">
        <f aca="false">G45/F45</f>
        <v>1.45051759834369</v>
      </c>
      <c r="K45" s="24" t="n">
        <f aca="false">E45/F45</f>
        <v>0.100207039337474</v>
      </c>
      <c r="L45" s="24" t="n">
        <f aca="false">E45/H45</f>
        <v>0.0371964340608669</v>
      </c>
      <c r="M45" s="25" t="n">
        <f aca="false">LN(H45)</f>
        <v>8.7804801070333</v>
      </c>
      <c r="N45" s="24" t="n">
        <f aca="false">(C45-'Raw Data'!D49)/'Raw Data'!D49</f>
        <v>-0.0187416331994645</v>
      </c>
      <c r="O45" s="24" t="n">
        <f aca="false">I45/H45</f>
        <v>0.730863818014141</v>
      </c>
      <c r="P45" s="23" t="n">
        <f aca="false">'Raw Data'!L50</f>
        <v>0.48</v>
      </c>
    </row>
    <row r="46" customFormat="false" ht="15" hidden="false" customHeight="false" outlineLevel="0" collapsed="false">
      <c r="A46" s="12" t="s">
        <v>44</v>
      </c>
      <c r="B46" s="12" t="s">
        <v>78</v>
      </c>
      <c r="C46" s="22" t="n">
        <f aca="false">'Raw Data'!D51</f>
        <v>4617</v>
      </c>
      <c r="D46" s="22" t="n">
        <f aca="false">'Raw Data'!E51</f>
        <v>886</v>
      </c>
      <c r="E46" s="22" t="n">
        <f aca="false">'Raw Data'!F51</f>
        <v>337</v>
      </c>
      <c r="F46" s="22" t="n">
        <f aca="false">'Raw Data'!G51+'Raw Data'!H51</f>
        <v>2725</v>
      </c>
      <c r="G46" s="22" t="n">
        <f aca="false">'Raw Data'!I51</f>
        <v>2849</v>
      </c>
      <c r="H46" s="22" t="n">
        <f aca="false">'Raw Data'!J51</f>
        <v>6150</v>
      </c>
      <c r="I46" s="22" t="n">
        <f aca="false">'Raw Data'!K51</f>
        <v>4467</v>
      </c>
      <c r="J46" s="23" t="n">
        <f aca="false">G46/F46</f>
        <v>1.04550458715596</v>
      </c>
      <c r="K46" s="24" t="n">
        <f aca="false">E46/F46</f>
        <v>0.123669724770642</v>
      </c>
      <c r="L46" s="24" t="n">
        <f aca="false">E46/H46</f>
        <v>0.0547967479674797</v>
      </c>
      <c r="M46" s="25" t="n">
        <f aca="false">LN(H46)</f>
        <v>8.72420736080056</v>
      </c>
      <c r="N46" s="24" t="n">
        <f aca="false">(C46-'Raw Data'!D50)/'Raw Data'!D50</f>
        <v>0.259754433833561</v>
      </c>
      <c r="O46" s="24" t="n">
        <f aca="false">I46/H46</f>
        <v>0.726341463414634</v>
      </c>
      <c r="P46" s="23" t="n">
        <f aca="false">'Raw Data'!L51</f>
        <v>0.66</v>
      </c>
    </row>
    <row r="47" customFormat="false" ht="15" hidden="false" customHeight="false" outlineLevel="0" collapsed="false">
      <c r="A47" s="12" t="s">
        <v>44</v>
      </c>
      <c r="B47" s="12" t="s">
        <v>79</v>
      </c>
      <c r="C47" s="22" t="n">
        <f aca="false">'Raw Data'!D52</f>
        <v>4566</v>
      </c>
      <c r="D47" s="22" t="n">
        <f aca="false">'Raw Data'!E52</f>
        <v>852</v>
      </c>
      <c r="E47" s="22" t="n">
        <f aca="false">'Raw Data'!F52</f>
        <v>266</v>
      </c>
      <c r="F47" s="22" t="n">
        <f aca="false">'Raw Data'!G52+'Raw Data'!H52</f>
        <v>2694</v>
      </c>
      <c r="G47" s="22" t="n">
        <f aca="false">'Raw Data'!I52</f>
        <v>2798</v>
      </c>
      <c r="H47" s="22" t="n">
        <f aca="false">'Raw Data'!J52</f>
        <v>6129</v>
      </c>
      <c r="I47" s="22" t="n">
        <f aca="false">'Raw Data'!K52</f>
        <v>4079</v>
      </c>
      <c r="J47" s="23" t="n">
        <f aca="false">G47/F47</f>
        <v>1.03860430586488</v>
      </c>
      <c r="K47" s="24" t="n">
        <f aca="false">E47/F47</f>
        <v>0.0987379361544172</v>
      </c>
      <c r="L47" s="24" t="n">
        <f aca="false">E47/H47</f>
        <v>0.0434002284222549</v>
      </c>
      <c r="M47" s="25" t="n">
        <f aca="false">LN(H47)</f>
        <v>8.72078688348573</v>
      </c>
      <c r="N47" s="24" t="n">
        <f aca="false">(C47-'Raw Data'!D51)/'Raw Data'!D51</f>
        <v>-0.0110461338531514</v>
      </c>
      <c r="O47" s="24" t="n">
        <f aca="false">I47/H47</f>
        <v>0.665524555392397</v>
      </c>
      <c r="P47" s="23" t="n">
        <f aca="false">'Raw Data'!L52</f>
        <v>0.52</v>
      </c>
    </row>
    <row r="48" customFormat="false" ht="15" hidden="false" customHeight="false" outlineLevel="0" collapsed="false">
      <c r="A48" s="12" t="s">
        <v>44</v>
      </c>
      <c r="B48" s="12" t="s">
        <v>80</v>
      </c>
      <c r="C48" s="22" t="n">
        <f aca="false">'Raw Data'!D53</f>
        <v>5220</v>
      </c>
      <c r="D48" s="22" t="n">
        <f aca="false">'Raw Data'!E53</f>
        <v>977</v>
      </c>
      <c r="E48" s="22" t="n">
        <f aca="false">'Raw Data'!F53</f>
        <v>371</v>
      </c>
      <c r="F48" s="22" t="n">
        <f aca="false">'Raw Data'!G53+'Raw Data'!H53</f>
        <v>2932</v>
      </c>
      <c r="G48" s="22" t="n">
        <f aca="false">'Raw Data'!I53</f>
        <v>2436</v>
      </c>
      <c r="H48" s="22" t="n">
        <f aca="false">'Raw Data'!J53</f>
        <v>6103</v>
      </c>
      <c r="I48" s="22" t="n">
        <f aca="false">'Raw Data'!K53</f>
        <v>3848</v>
      </c>
      <c r="J48" s="23" t="n">
        <f aca="false">G48/F48</f>
        <v>0.830832196452933</v>
      </c>
      <c r="K48" s="24" t="n">
        <f aca="false">E48/F48</f>
        <v>0.126534788540246</v>
      </c>
      <c r="L48" s="24" t="n">
        <f aca="false">E48/H48</f>
        <v>0.060789775520236</v>
      </c>
      <c r="M48" s="25" t="n">
        <f aca="false">LN(H48)</f>
        <v>8.7165357325445</v>
      </c>
      <c r="N48" s="24" t="n">
        <f aca="false">(C48-'Raw Data'!D52)/'Raw Data'!D52</f>
        <v>0.14323258869908</v>
      </c>
      <c r="O48" s="24" t="n">
        <f aca="false">I48/H48</f>
        <v>0.630509585449779</v>
      </c>
      <c r="P48" s="23" t="n">
        <f aca="false">'Raw Data'!L53</f>
        <v>0.73</v>
      </c>
    </row>
    <row r="49" customFormat="false" ht="15" hidden="false" customHeight="false" outlineLevel="0" collapsed="false">
      <c r="A49" s="12" t="s">
        <v>44</v>
      </c>
      <c r="B49" s="12" t="s">
        <v>81</v>
      </c>
      <c r="C49" s="22" t="n">
        <f aca="false">'Raw Data'!D54</f>
        <v>4699</v>
      </c>
      <c r="D49" s="22" t="n">
        <f aca="false">'Raw Data'!E54</f>
        <v>841</v>
      </c>
      <c r="E49" s="22" t="n">
        <f aca="false">'Raw Data'!F54</f>
        <v>342</v>
      </c>
      <c r="F49" s="22" t="n">
        <f aca="false">'Raw Data'!G54+'Raw Data'!H54</f>
        <v>2967</v>
      </c>
      <c r="G49" s="22" t="n">
        <f aca="false">'Raw Data'!I54</f>
        <v>1991</v>
      </c>
      <c r="H49" s="22" t="n">
        <f aca="false">'Raw Data'!J54</f>
        <v>5718</v>
      </c>
      <c r="I49" s="22" t="n">
        <f aca="false">'Raw Data'!K54</f>
        <v>3826</v>
      </c>
      <c r="J49" s="23" t="n">
        <f aca="false">G49/F49</f>
        <v>0.671048196831817</v>
      </c>
      <c r="K49" s="24" t="n">
        <f aca="false">E49/F49</f>
        <v>0.115267947421638</v>
      </c>
      <c r="L49" s="24" t="n">
        <f aca="false">E49/H49</f>
        <v>0.0598111227701994</v>
      </c>
      <c r="M49" s="25" t="n">
        <f aca="false">LN(H49)</f>
        <v>8.65137437288226</v>
      </c>
      <c r="N49" s="24" t="n">
        <f aca="false">(C49-'Raw Data'!D53)/'Raw Data'!D53</f>
        <v>-0.099808429118774</v>
      </c>
      <c r="O49" s="24" t="n">
        <f aca="false">I49/H49</f>
        <v>0.669115075201119</v>
      </c>
      <c r="P49" s="23" t="n">
        <f aca="false">'Raw Data'!L54</f>
        <v>0.67</v>
      </c>
    </row>
    <row r="50" customFormat="false" ht="15" hidden="false" customHeight="false" outlineLevel="0" collapsed="false">
      <c r="A50" s="12" t="s">
        <v>44</v>
      </c>
      <c r="B50" s="12" t="s">
        <v>82</v>
      </c>
      <c r="C50" s="22" t="n">
        <f aca="false">'Raw Data'!D55</f>
        <v>4519</v>
      </c>
      <c r="D50" s="22" t="n">
        <f aca="false">'Raw Data'!E55</f>
        <v>814</v>
      </c>
      <c r="E50" s="22" t="n">
        <f aca="false">'Raw Data'!F55</f>
        <v>346</v>
      </c>
      <c r="F50" s="22" t="n">
        <f aca="false">'Raw Data'!G55+'Raw Data'!H55</f>
        <v>3317</v>
      </c>
      <c r="G50" s="22" t="n">
        <f aca="false">'Raw Data'!I55</f>
        <v>1562</v>
      </c>
      <c r="H50" s="22" t="n">
        <f aca="false">'Raw Data'!J55</f>
        <v>5754</v>
      </c>
      <c r="I50" s="22" t="n">
        <f aca="false">'Raw Data'!K55</f>
        <v>3854</v>
      </c>
      <c r="J50" s="23" t="n">
        <f aca="false">G50/F50</f>
        <v>0.47090744648779</v>
      </c>
      <c r="K50" s="24" t="n">
        <f aca="false">E50/F50</f>
        <v>0.104311124510099</v>
      </c>
      <c r="L50" s="24" t="n">
        <f aca="false">E50/H50</f>
        <v>0.0601320820298923</v>
      </c>
      <c r="M50" s="25" t="n">
        <f aca="false">LN(H50)</f>
        <v>8.65765054411149</v>
      </c>
      <c r="N50" s="24" t="n">
        <f aca="false">(C50-'Raw Data'!D54)/'Raw Data'!D54</f>
        <v>-0.0383060225579911</v>
      </c>
      <c r="O50" s="24" t="n">
        <f aca="false">I50/H50</f>
        <v>0.669794925269378</v>
      </c>
      <c r="P50" s="23" t="n">
        <f aca="false">'Raw Data'!L55</f>
        <v>0.68</v>
      </c>
    </row>
    <row r="51" customFormat="false" ht="15" hidden="false" customHeight="false" outlineLevel="0" collapsed="false">
      <c r="A51" s="12" t="s">
        <v>44</v>
      </c>
      <c r="B51" s="12" t="s">
        <v>83</v>
      </c>
      <c r="C51" s="22" t="n">
        <f aca="false">'Raw Data'!D56</f>
        <v>6919</v>
      </c>
      <c r="D51" s="22" t="n">
        <f aca="false">'Raw Data'!E56</f>
        <v>1495</v>
      </c>
      <c r="E51" s="22" t="n">
        <f aca="false">'Raw Data'!F56</f>
        <v>815</v>
      </c>
      <c r="F51" s="22" t="n">
        <f aca="false">'Raw Data'!G56+'Raw Data'!H56</f>
        <v>3798</v>
      </c>
      <c r="G51" s="22" t="n">
        <f aca="false">'Raw Data'!I56</f>
        <v>1596</v>
      </c>
      <c r="H51" s="22" t="n">
        <f aca="false">'Raw Data'!J56</f>
        <v>6431</v>
      </c>
      <c r="I51" s="22" t="n">
        <f aca="false">'Raw Data'!K56</f>
        <v>3795</v>
      </c>
      <c r="J51" s="23" t="n">
        <f aca="false">G51/F51</f>
        <v>0.420221169036335</v>
      </c>
      <c r="K51" s="24" t="n">
        <f aca="false">E51/F51</f>
        <v>0.214586624539231</v>
      </c>
      <c r="L51" s="24" t="n">
        <f aca="false">E51/H51</f>
        <v>0.126729902037008</v>
      </c>
      <c r="M51" s="25" t="n">
        <f aca="false">LN(H51)</f>
        <v>8.76888532613486</v>
      </c>
      <c r="N51" s="24" t="n">
        <f aca="false">(C51-'Raw Data'!D55)/'Raw Data'!D55</f>
        <v>0.531090949325072</v>
      </c>
      <c r="O51" s="24" t="n">
        <f aca="false">I51/H51</f>
        <v>0.590110402736744</v>
      </c>
      <c r="P51" s="23" t="n">
        <f aca="false">'Raw Data'!L56</f>
        <v>1.6</v>
      </c>
    </row>
    <row r="52" customFormat="false" ht="15" hidden="false" customHeight="false" outlineLevel="0" collapsed="false">
      <c r="A52" s="12" t="s">
        <v>44</v>
      </c>
      <c r="B52" s="12" t="s">
        <v>84</v>
      </c>
      <c r="C52" s="22" t="n">
        <f aca="false">'Raw Data'!D57</f>
        <v>6267</v>
      </c>
      <c r="D52" s="22" t="n">
        <f aca="false">'Raw Data'!E57</f>
        <v>918</v>
      </c>
      <c r="E52" s="22" t="n">
        <f aca="false">'Raw Data'!F57</f>
        <v>422</v>
      </c>
      <c r="F52" s="22" t="n">
        <f aca="false">'Raw Data'!G57+'Raw Data'!H57</f>
        <v>4126</v>
      </c>
      <c r="G52" s="22" t="n">
        <f aca="false">'Raw Data'!I57</f>
        <v>1404</v>
      </c>
      <c r="H52" s="22" t="n">
        <f aca="false">'Raw Data'!J57</f>
        <v>6713</v>
      </c>
      <c r="I52" s="22" t="n">
        <f aca="false">'Raw Data'!K57</f>
        <v>4422</v>
      </c>
      <c r="J52" s="23" t="n">
        <f aca="false">G52/F52</f>
        <v>0.340281143965099</v>
      </c>
      <c r="K52" s="24" t="n">
        <f aca="false">E52/F52</f>
        <v>0.102278235579254</v>
      </c>
      <c r="L52" s="24" t="n">
        <f aca="false">E52/H52</f>
        <v>0.0628631014449576</v>
      </c>
      <c r="M52" s="25" t="n">
        <f aca="false">LN(H52)</f>
        <v>8.81180122393875</v>
      </c>
      <c r="N52" s="24" t="n">
        <f aca="false">(C52-'Raw Data'!D56)/'Raw Data'!D56</f>
        <v>-0.0942332707038589</v>
      </c>
      <c r="O52" s="24" t="n">
        <f aca="false">I52/H52</f>
        <v>0.658721882913749</v>
      </c>
      <c r="P52" s="23" t="n">
        <f aca="false">'Raw Data'!L57</f>
        <v>0.83</v>
      </c>
    </row>
    <row r="53" customFormat="false" ht="15" hidden="false" customHeight="false" outlineLevel="0" collapsed="false">
      <c r="A53" s="12" t="s">
        <v>44</v>
      </c>
      <c r="B53" s="12" t="s">
        <v>85</v>
      </c>
      <c r="C53" s="22" t="n">
        <f aca="false">'Raw Data'!D58</f>
        <v>6730</v>
      </c>
      <c r="D53" s="22" t="n">
        <f aca="false">'Raw Data'!E58</f>
        <v>935</v>
      </c>
      <c r="E53" s="22" t="n">
        <f aca="false">'Raw Data'!F58</f>
        <v>390</v>
      </c>
      <c r="F53" s="22" t="n">
        <f aca="false">'Raw Data'!G58+'Raw Data'!H58</f>
        <v>4310</v>
      </c>
      <c r="G53" s="22" t="n">
        <f aca="false">'Raw Data'!I58</f>
        <v>2094</v>
      </c>
      <c r="H53" s="22" t="n">
        <f aca="false">'Raw Data'!J58</f>
        <v>7522</v>
      </c>
      <c r="I53" s="22" t="n">
        <f aca="false">'Raw Data'!K58</f>
        <v>4663</v>
      </c>
      <c r="J53" s="23" t="n">
        <f aca="false">G53/F53</f>
        <v>0.48584686774942</v>
      </c>
      <c r="K53" s="24" t="n">
        <f aca="false">E53/F53</f>
        <v>0.0904872389791183</v>
      </c>
      <c r="L53" s="24" t="n">
        <f aca="false">E53/H53</f>
        <v>0.0518479127891518</v>
      </c>
      <c r="M53" s="25" t="n">
        <f aca="false">LN(H53)</f>
        <v>8.92558733903028</v>
      </c>
      <c r="N53" s="24" t="n">
        <f aca="false">(C53-'Raw Data'!D57)/'Raw Data'!D57</f>
        <v>0.073879048986756</v>
      </c>
      <c r="O53" s="24" t="n">
        <f aca="false">I53/H53</f>
        <v>0.619914916245679</v>
      </c>
      <c r="P53" s="23" t="n">
        <f aca="false">'Raw Data'!L58</f>
        <v>0.76</v>
      </c>
    </row>
    <row r="54" customFormat="false" ht="15" hidden="false" customHeight="false" outlineLevel="0" collapsed="false">
      <c r="A54" s="12" t="s">
        <v>44</v>
      </c>
      <c r="B54" s="12" t="s">
        <v>86</v>
      </c>
      <c r="C54" s="22" t="n">
        <f aca="false">'Raw Data'!D59</f>
        <v>6966</v>
      </c>
      <c r="D54" s="22" t="n">
        <f aca="false">'Raw Data'!E59</f>
        <v>886</v>
      </c>
      <c r="E54" s="22" t="n">
        <f aca="false">'Raw Data'!F59</f>
        <v>367</v>
      </c>
      <c r="F54" s="22" t="n">
        <f aca="false">'Raw Data'!G59+'Raw Data'!H59</f>
        <v>4611</v>
      </c>
      <c r="G54" s="22" t="n">
        <f aca="false">'Raw Data'!I59</f>
        <v>1606</v>
      </c>
      <c r="H54" s="22" t="n">
        <f aca="false">'Raw Data'!J59</f>
        <v>7129</v>
      </c>
      <c r="I54" s="22" t="n">
        <f aca="false">'Raw Data'!K59</f>
        <v>4478</v>
      </c>
      <c r="J54" s="23" t="n">
        <f aca="false">G54/F54</f>
        <v>0.348297549338538</v>
      </c>
      <c r="K54" s="24" t="n">
        <f aca="false">E54/F54</f>
        <v>0.0795922793320321</v>
      </c>
      <c r="L54" s="24" t="n">
        <f aca="false">E54/H54</f>
        <v>0.0514798709496423</v>
      </c>
      <c r="M54" s="25" t="n">
        <f aca="false">LN(H54)</f>
        <v>8.87192625111763</v>
      </c>
      <c r="N54" s="24" t="n">
        <f aca="false">(C54-'Raw Data'!D58)/'Raw Data'!D58</f>
        <v>0.0350668647845468</v>
      </c>
      <c r="O54" s="24" t="n">
        <f aca="false">I54/H54</f>
        <v>0.628138588862393</v>
      </c>
      <c r="P54" s="23" t="n">
        <f aca="false">'Raw Data'!L59</f>
        <v>0.72</v>
      </c>
    </row>
    <row r="55" customFormat="false" ht="15" hidden="false" customHeight="false" outlineLevel="0" collapsed="false">
      <c r="A55" s="15" t="s">
        <v>45</v>
      </c>
      <c r="B55" s="15" t="s">
        <v>77</v>
      </c>
      <c r="C55" s="26" t="n">
        <f aca="false">'Raw Data'!D61</f>
        <v>5357</v>
      </c>
      <c r="D55" s="26" t="n">
        <f aca="false">'Raw Data'!E61</f>
        <v>808</v>
      </c>
      <c r="E55" s="26" t="n">
        <f aca="false">'Raw Data'!F61</f>
        <v>321</v>
      </c>
      <c r="F55" s="26" t="n">
        <f aca="false">'Raw Data'!G61+'Raw Data'!H61</f>
        <v>2986</v>
      </c>
      <c r="G55" s="26" t="n">
        <f aca="false">'Raw Data'!I61</f>
        <v>3123</v>
      </c>
      <c r="H55" s="26" t="n">
        <f aca="false">'Raw Data'!J61</f>
        <v>6990</v>
      </c>
      <c r="I55" s="26" t="n">
        <f aca="false">'Raw Data'!K61</f>
        <v>2928</v>
      </c>
      <c r="J55" s="27" t="n">
        <f aca="false">G55/F55</f>
        <v>1.04588077695914</v>
      </c>
      <c r="K55" s="28" t="n">
        <f aca="false">E55/F55</f>
        <v>0.107501674480911</v>
      </c>
      <c r="L55" s="28" t="n">
        <f aca="false">E55/H55</f>
        <v>0.0459227467811159</v>
      </c>
      <c r="M55" s="29" t="n">
        <f aca="false">LN(H55)</f>
        <v>8.85223583522786</v>
      </c>
      <c r="N55" s="28" t="n">
        <f aca="false">(C55-'Raw Data'!D60)/'Raw Data'!D60</f>
        <v>0.0252631578947368</v>
      </c>
      <c r="O55" s="28" t="n">
        <f aca="false">I55/H55</f>
        <v>0.418884120171674</v>
      </c>
      <c r="P55" s="27" t="n">
        <f aca="false">'Raw Data'!L61</f>
        <v>12.42</v>
      </c>
    </row>
    <row r="56" customFormat="false" ht="15" hidden="false" customHeight="false" outlineLevel="0" collapsed="false">
      <c r="A56" s="15" t="s">
        <v>45</v>
      </c>
      <c r="B56" s="15" t="s">
        <v>78</v>
      </c>
      <c r="C56" s="26" t="n">
        <f aca="false">'Raw Data'!D62</f>
        <v>5967</v>
      </c>
      <c r="D56" s="26" t="n">
        <f aca="false">'Raw Data'!E62</f>
        <v>732</v>
      </c>
      <c r="E56" s="26" t="n">
        <f aca="false">'Raw Data'!F62</f>
        <v>19</v>
      </c>
      <c r="F56" s="26" t="n">
        <f aca="false">'Raw Data'!G62+'Raw Data'!H62</f>
        <v>3011</v>
      </c>
      <c r="G56" s="26" t="n">
        <f aca="false">'Raw Data'!I62</f>
        <v>2428</v>
      </c>
      <c r="H56" s="26" t="n">
        <f aca="false">'Raw Data'!J62</f>
        <v>6458</v>
      </c>
      <c r="I56" s="26" t="n">
        <f aca="false">'Raw Data'!K62</f>
        <v>3177</v>
      </c>
      <c r="J56" s="27" t="n">
        <f aca="false">G56/F56</f>
        <v>0.806376619063434</v>
      </c>
      <c r="K56" s="28" t="n">
        <f aca="false">E56/F56</f>
        <v>0.00631019594818997</v>
      </c>
      <c r="L56" s="28" t="n">
        <f aca="false">E56/H56</f>
        <v>0.0029420873335398</v>
      </c>
      <c r="M56" s="29" t="n">
        <f aca="false">LN(H56)</f>
        <v>8.77307495131822</v>
      </c>
      <c r="N56" s="28" t="n">
        <f aca="false">(C56-'Raw Data'!D61)/'Raw Data'!D61</f>
        <v>0.113869703192085</v>
      </c>
      <c r="O56" s="28" t="n">
        <f aca="false">I56/H56</f>
        <v>0.491947971508207</v>
      </c>
      <c r="P56" s="27" t="n">
        <f aca="false">'Raw Data'!L62</f>
        <v>0.72</v>
      </c>
    </row>
    <row r="57" customFormat="false" ht="15" hidden="false" customHeight="false" outlineLevel="0" collapsed="false">
      <c r="A57" s="15" t="s">
        <v>45</v>
      </c>
      <c r="B57" s="15" t="s">
        <v>79</v>
      </c>
      <c r="C57" s="26" t="n">
        <f aca="false">'Raw Data'!D63</f>
        <v>6332</v>
      </c>
      <c r="D57" s="26" t="n">
        <f aca="false">'Raw Data'!E63</f>
        <v>639</v>
      </c>
      <c r="E57" s="26" t="n">
        <f aca="false">'Raw Data'!F63</f>
        <v>250</v>
      </c>
      <c r="F57" s="26" t="n">
        <f aca="false">'Raw Data'!G63+'Raw Data'!H63</f>
        <v>3159</v>
      </c>
      <c r="G57" s="26" t="n">
        <f aca="false">'Raw Data'!I63</f>
        <v>2562</v>
      </c>
      <c r="H57" s="26" t="n">
        <f aca="false">'Raw Data'!J63</f>
        <v>7044</v>
      </c>
      <c r="I57" s="26" t="n">
        <f aca="false">'Raw Data'!K63</f>
        <v>3208</v>
      </c>
      <c r="J57" s="27" t="n">
        <f aca="false">G57/F57</f>
        <v>0.811016144349478</v>
      </c>
      <c r="K57" s="28" t="n">
        <f aca="false">E57/F57</f>
        <v>0.0791389680278569</v>
      </c>
      <c r="L57" s="28" t="n">
        <f aca="false">E57/H57</f>
        <v>0.0354911981828507</v>
      </c>
      <c r="M57" s="29" t="n">
        <f aca="false">LN(H57)</f>
        <v>8.8599314696161</v>
      </c>
      <c r="N57" s="28" t="n">
        <f aca="false">(C57-'Raw Data'!D62)/'Raw Data'!D62</f>
        <v>0.06116976705212</v>
      </c>
      <c r="O57" s="28" t="n">
        <f aca="false">I57/H57</f>
        <v>0.45542305508234</v>
      </c>
      <c r="P57" s="27" t="n">
        <f aca="false">'Raw Data'!L63</f>
        <v>9.67</v>
      </c>
    </row>
    <row r="58" customFormat="false" ht="15" hidden="false" customHeight="false" outlineLevel="0" collapsed="false">
      <c r="A58" s="15" t="s">
        <v>45</v>
      </c>
      <c r="B58" s="15" t="s">
        <v>80</v>
      </c>
      <c r="C58" s="26" t="n">
        <f aca="false">'Raw Data'!D64</f>
        <v>6436</v>
      </c>
      <c r="D58" s="26" t="n">
        <f aca="false">'Raw Data'!E64</f>
        <v>633</v>
      </c>
      <c r="E58" s="26" t="n">
        <f aca="false">'Raw Data'!F64</f>
        <v>199</v>
      </c>
      <c r="F58" s="26" t="n">
        <f aca="false">'Raw Data'!G64+'Raw Data'!H64</f>
        <v>2817</v>
      </c>
      <c r="G58" s="26" t="n">
        <f aca="false">'Raw Data'!I64</f>
        <v>2652</v>
      </c>
      <c r="H58" s="26" t="n">
        <f aca="false">'Raw Data'!J64</f>
        <v>7014</v>
      </c>
      <c r="I58" s="26" t="n">
        <f aca="false">'Raw Data'!K64</f>
        <v>3362</v>
      </c>
      <c r="J58" s="27" t="n">
        <f aca="false">G58/F58</f>
        <v>0.941427050053248</v>
      </c>
      <c r="K58" s="28" t="n">
        <f aca="false">E58/F58</f>
        <v>0.0706425275115371</v>
      </c>
      <c r="L58" s="28" t="n">
        <f aca="false">E58/H58</f>
        <v>0.0283718277730254</v>
      </c>
      <c r="M58" s="29" t="n">
        <f aca="false">LN(H58)</f>
        <v>8.85566343070012</v>
      </c>
      <c r="N58" s="28" t="n">
        <f aca="false">(C58-'Raw Data'!D63)/'Raw Data'!D63</f>
        <v>0.016424510423247</v>
      </c>
      <c r="O58" s="28" t="n">
        <f aca="false">I58/H58</f>
        <v>0.479327060165384</v>
      </c>
      <c r="P58" s="27" t="n">
        <f aca="false">'Raw Data'!L64</f>
        <v>7.71</v>
      </c>
    </row>
    <row r="59" customFormat="false" ht="15" hidden="false" customHeight="false" outlineLevel="0" collapsed="false">
      <c r="A59" s="15" t="s">
        <v>45</v>
      </c>
      <c r="B59" s="15" t="s">
        <v>81</v>
      </c>
      <c r="C59" s="26" t="n">
        <f aca="false">'Raw Data'!D65</f>
        <v>6705</v>
      </c>
      <c r="D59" s="26" t="n">
        <f aca="false">'Raw Data'!E65</f>
        <v>708</v>
      </c>
      <c r="E59" s="26" t="n">
        <f aca="false">'Raw Data'!F65</f>
        <v>171</v>
      </c>
      <c r="F59" s="26" t="n">
        <f aca="false">'Raw Data'!G65+'Raw Data'!H65</f>
        <v>2854</v>
      </c>
      <c r="G59" s="26" t="n">
        <f aca="false">'Raw Data'!I65</f>
        <v>2431</v>
      </c>
      <c r="H59" s="26" t="n">
        <f aca="false">'Raw Data'!J65</f>
        <v>6815</v>
      </c>
      <c r="I59" s="26" t="n">
        <f aca="false">'Raw Data'!K65</f>
        <v>3532</v>
      </c>
      <c r="J59" s="27" t="n">
        <f aca="false">G59/F59</f>
        <v>0.851786965662228</v>
      </c>
      <c r="K59" s="28" t="n">
        <f aca="false">E59/F59</f>
        <v>0.0599159074982481</v>
      </c>
      <c r="L59" s="28" t="n">
        <f aca="false">E59/H59</f>
        <v>0.0250917094644167</v>
      </c>
      <c r="M59" s="29" t="n">
        <f aca="false">LN(H59)</f>
        <v>8.82688134413063</v>
      </c>
      <c r="N59" s="28" t="n">
        <f aca="false">(C59-'Raw Data'!D64)/'Raw Data'!D64</f>
        <v>0.0417961466749534</v>
      </c>
      <c r="O59" s="28" t="n">
        <f aca="false">I59/H59</f>
        <v>0.518268525311812</v>
      </c>
      <c r="P59" s="27" t="n">
        <f aca="false">'Raw Data'!L65</f>
        <v>6.62</v>
      </c>
    </row>
    <row r="60" customFormat="false" ht="15" hidden="false" customHeight="false" outlineLevel="0" collapsed="false">
      <c r="A60" s="15" t="s">
        <v>45</v>
      </c>
      <c r="B60" s="15" t="s">
        <v>82</v>
      </c>
      <c r="C60" s="26" t="n">
        <f aca="false">'Raw Data'!D66</f>
        <v>4529</v>
      </c>
      <c r="D60" s="26" t="n">
        <f aca="false">'Raw Data'!E66</f>
        <v>477</v>
      </c>
      <c r="E60" s="26" t="n">
        <f aca="false">'Raw Data'!F66</f>
        <v>93</v>
      </c>
      <c r="F60" s="26" t="n">
        <f aca="false">'Raw Data'!G66+'Raw Data'!H66</f>
        <v>2941</v>
      </c>
      <c r="G60" s="26" t="n">
        <f aca="false">'Raw Data'!I66</f>
        <v>1985</v>
      </c>
      <c r="H60" s="26" t="n">
        <f aca="false">'Raw Data'!J66</f>
        <v>6609</v>
      </c>
      <c r="I60" s="26" t="n">
        <f aca="false">'Raw Data'!K66</f>
        <v>3332</v>
      </c>
      <c r="J60" s="27" t="n">
        <f aca="false">G60/F60</f>
        <v>0.674940496429786</v>
      </c>
      <c r="K60" s="28" t="n">
        <f aca="false">E60/F60</f>
        <v>0.0316218973138388</v>
      </c>
      <c r="L60" s="28" t="n">
        <f aca="false">E60/H60</f>
        <v>0.0140717203812982</v>
      </c>
      <c r="M60" s="29" t="n">
        <f aca="false">LN(H60)</f>
        <v>8.79618763547045</v>
      </c>
      <c r="N60" s="28" t="n">
        <f aca="false">(C60-'Raw Data'!D65)/'Raw Data'!D65</f>
        <v>-0.324533929903057</v>
      </c>
      <c r="O60" s="28" t="n">
        <f aca="false">I60/H60</f>
        <v>0.504160992585868</v>
      </c>
      <c r="P60" s="27" t="n">
        <f aca="false">'Raw Data'!L66</f>
        <v>3.58</v>
      </c>
    </row>
    <row r="61" customFormat="false" ht="15" hidden="false" customHeight="false" outlineLevel="0" collapsed="false">
      <c r="A61" s="15" t="s">
        <v>45</v>
      </c>
      <c r="B61" s="15" t="s">
        <v>83</v>
      </c>
      <c r="C61" s="26" t="n">
        <f aca="false">'Raw Data'!D67</f>
        <v>7436</v>
      </c>
      <c r="D61" s="26" t="n">
        <f aca="false">'Raw Data'!E67</f>
        <v>790</v>
      </c>
      <c r="E61" s="26" t="n">
        <f aca="false">'Raw Data'!F67</f>
        <v>59</v>
      </c>
      <c r="F61" s="26" t="n">
        <f aca="false">'Raw Data'!G67+'Raw Data'!H67</f>
        <v>3012</v>
      </c>
      <c r="G61" s="26" t="n">
        <f aca="false">'Raw Data'!I67</f>
        <v>1783</v>
      </c>
      <c r="H61" s="26" t="n">
        <f aca="false">'Raw Data'!J67</f>
        <v>7413</v>
      </c>
      <c r="I61" s="26" t="n">
        <f aca="false">'Raw Data'!K67</f>
        <v>3268</v>
      </c>
      <c r="J61" s="27" t="n">
        <f aca="false">G61/F61</f>
        <v>0.591965471447543</v>
      </c>
      <c r="K61" s="28" t="n">
        <f aca="false">E61/F61</f>
        <v>0.0195883134130146</v>
      </c>
      <c r="L61" s="28" t="n">
        <f aca="false">E61/H61</f>
        <v>0.00795899096182382</v>
      </c>
      <c r="M61" s="29" t="n">
        <f aca="false">LN(H61)</f>
        <v>8.91099049465672</v>
      </c>
      <c r="N61" s="28" t="n">
        <f aca="false">(C61-'Raw Data'!D66)/'Raw Data'!D66</f>
        <v>0.641863546036653</v>
      </c>
      <c r="O61" s="28" t="n">
        <f aca="false">I61/H61</f>
        <v>0.440847160393903</v>
      </c>
      <c r="P61" s="27" t="n">
        <f aca="false">'Raw Data'!L67</f>
        <v>2.28</v>
      </c>
    </row>
    <row r="62" customFormat="false" ht="15" hidden="false" customHeight="false" outlineLevel="0" collapsed="false">
      <c r="A62" s="15" t="s">
        <v>45</v>
      </c>
      <c r="B62" s="15" t="s">
        <v>84</v>
      </c>
      <c r="C62" s="26" t="n">
        <f aca="false">'Raw Data'!D68</f>
        <v>7723</v>
      </c>
      <c r="D62" s="26" t="n">
        <f aca="false">'Raw Data'!E68</f>
        <v>720</v>
      </c>
      <c r="E62" s="26" t="n">
        <f aca="false">'Raw Data'!F68</f>
        <v>346</v>
      </c>
      <c r="F62" s="26" t="n">
        <f aca="false">'Raw Data'!G68+'Raw Data'!H68</f>
        <v>3297</v>
      </c>
      <c r="G62" s="26" t="n">
        <f aca="false">'Raw Data'!I68</f>
        <v>1420</v>
      </c>
      <c r="H62" s="26" t="n">
        <f aca="false">'Raw Data'!J68</f>
        <v>6398</v>
      </c>
      <c r="I62" s="26" t="n">
        <f aca="false">'Raw Data'!K68</f>
        <v>3255</v>
      </c>
      <c r="J62" s="27" t="n">
        <f aca="false">G62/F62</f>
        <v>0.430694570821959</v>
      </c>
      <c r="K62" s="28" t="n">
        <f aca="false">E62/F62</f>
        <v>0.104943888383379</v>
      </c>
      <c r="L62" s="28" t="n">
        <f aca="false">E62/H62</f>
        <v>0.0540793998124414</v>
      </c>
      <c r="M62" s="29" t="n">
        <f aca="false">LN(H62)</f>
        <v>8.76374072050946</v>
      </c>
      <c r="N62" s="28" t="n">
        <f aca="false">(C62-'Raw Data'!D67)/'Raw Data'!D67</f>
        <v>0.0385960193652501</v>
      </c>
      <c r="O62" s="28" t="n">
        <f aca="false">I62/H62</f>
        <v>0.508752735229759</v>
      </c>
      <c r="P62" s="27" t="n">
        <f aca="false">'Raw Data'!L68</f>
        <v>13.23</v>
      </c>
    </row>
    <row r="63" customFormat="false" ht="15" hidden="false" customHeight="false" outlineLevel="0" collapsed="false">
      <c r="A63" s="15" t="s">
        <v>45</v>
      </c>
      <c r="B63" s="15" t="s">
        <v>85</v>
      </c>
      <c r="C63" s="26" t="n">
        <f aca="false">'Raw Data'!D69</f>
        <v>7100</v>
      </c>
      <c r="D63" s="26" t="n">
        <f aca="false">'Raw Data'!E69</f>
        <v>767</v>
      </c>
      <c r="E63" s="26" t="n">
        <f aca="false">'Raw Data'!F69</f>
        <v>305</v>
      </c>
      <c r="F63" s="26" t="n">
        <f aca="false">'Raw Data'!G69+'Raw Data'!H69</f>
        <v>3477</v>
      </c>
      <c r="G63" s="26" t="n">
        <f aca="false">'Raw Data'!I69</f>
        <v>1320</v>
      </c>
      <c r="H63" s="26" t="n">
        <f aca="false">'Raw Data'!J69</f>
        <v>6729</v>
      </c>
      <c r="I63" s="26" t="n">
        <f aca="false">'Raw Data'!K69</f>
        <v>3288</v>
      </c>
      <c r="J63" s="27" t="n">
        <f aca="false">G63/F63</f>
        <v>0.379637618636756</v>
      </c>
      <c r="K63" s="28" t="n">
        <f aca="false">E63/F63</f>
        <v>0.087719298245614</v>
      </c>
      <c r="L63" s="28" t="n">
        <f aca="false">E63/H63</f>
        <v>0.0453262000297221</v>
      </c>
      <c r="M63" s="29" t="n">
        <f aca="false">LN(H63)</f>
        <v>8.81418182318832</v>
      </c>
      <c r="N63" s="28" t="n">
        <f aca="false">(C63-'Raw Data'!D68)/'Raw Data'!D68</f>
        <v>-0.0806681341447624</v>
      </c>
      <c r="O63" s="28" t="n">
        <f aca="false">I63/H63</f>
        <v>0.488631297369594</v>
      </c>
      <c r="P63" s="27" t="n">
        <f aca="false">'Raw Data'!L69</f>
        <v>11.65</v>
      </c>
    </row>
    <row r="64" customFormat="false" ht="15" hidden="false" customHeight="false" outlineLevel="0" collapsed="false">
      <c r="A64" s="15" t="s">
        <v>45</v>
      </c>
      <c r="B64" s="15" t="s">
        <v>86</v>
      </c>
      <c r="C64" s="26" t="n">
        <f aca="false">'Raw Data'!D70</f>
        <v>6236</v>
      </c>
      <c r="D64" s="26" t="n">
        <f aca="false">'Raw Data'!E70</f>
        <v>581</v>
      </c>
      <c r="E64" s="26" t="n">
        <f aca="false">'Raw Data'!F70</f>
        <v>240</v>
      </c>
      <c r="F64" s="26" t="n">
        <f aca="false">'Raw Data'!G70+'Raw Data'!H70</f>
        <v>3587</v>
      </c>
      <c r="G64" s="26" t="n">
        <f aca="false">'Raw Data'!I70</f>
        <v>1496</v>
      </c>
      <c r="H64" s="26" t="n">
        <f aca="false">'Raw Data'!J70</f>
        <v>7324</v>
      </c>
      <c r="I64" s="26" t="n">
        <f aca="false">'Raw Data'!K70</f>
        <v>3504</v>
      </c>
      <c r="J64" s="27" t="n">
        <f aca="false">G64/F64</f>
        <v>0.417061611374408</v>
      </c>
      <c r="K64" s="28" t="n">
        <f aca="false">E64/F64</f>
        <v>0.0669082798996376</v>
      </c>
      <c r="L64" s="28" t="n">
        <f aca="false">E64/H64</f>
        <v>0.0327689787001639</v>
      </c>
      <c r="M64" s="29" t="n">
        <f aca="false">LN(H64)</f>
        <v>8.8989119057944</v>
      </c>
      <c r="N64" s="28" t="n">
        <f aca="false">(C64-'Raw Data'!D69)/'Raw Data'!D69</f>
        <v>-0.12169014084507</v>
      </c>
      <c r="O64" s="28" t="n">
        <f aca="false">I64/H64</f>
        <v>0.478427089022392</v>
      </c>
      <c r="P64" s="27" t="n">
        <f aca="false">'Raw Data'!L70</f>
        <v>9.18</v>
      </c>
    </row>
    <row r="65" customFormat="false" ht="15" hidden="false" customHeight="false" outlineLevel="0" collapsed="false">
      <c r="A65" s="12" t="s">
        <v>46</v>
      </c>
      <c r="B65" s="12" t="s">
        <v>77</v>
      </c>
      <c r="C65" s="22" t="n">
        <f aca="false">'Raw Data'!D72</f>
        <v>766</v>
      </c>
      <c r="D65" s="22" t="n">
        <f aca="false">'Raw Data'!E72</f>
        <v>137</v>
      </c>
      <c r="E65" s="22" t="n">
        <f aca="false">'Raw Data'!F72</f>
        <v>44</v>
      </c>
      <c r="F65" s="22" t="n">
        <f aca="false">'Raw Data'!G72+'Raw Data'!H72</f>
        <v>206</v>
      </c>
      <c r="G65" s="22" t="n">
        <f aca="false">'Raw Data'!I72</f>
        <v>352</v>
      </c>
      <c r="H65" s="22" t="n">
        <f aca="false">'Raw Data'!J72</f>
        <v>635</v>
      </c>
      <c r="I65" s="22" t="n">
        <f aca="false">'Raw Data'!K72</f>
        <v>399</v>
      </c>
      <c r="J65" s="23" t="n">
        <f aca="false">G65/F65</f>
        <v>1.70873786407767</v>
      </c>
      <c r="K65" s="24" t="n">
        <f aca="false">E65/F65</f>
        <v>0.213592233009709</v>
      </c>
      <c r="L65" s="24" t="n">
        <f aca="false">E65/H65</f>
        <v>0.0692913385826772</v>
      </c>
      <c r="M65" s="25" t="n">
        <f aca="false">LN(H65)</f>
        <v>6.45362499889269</v>
      </c>
      <c r="N65" s="24" t="n">
        <f aca="false">(C65-'Raw Data'!D71)/'Raw Data'!D71</f>
        <v>0.243506493506494</v>
      </c>
      <c r="O65" s="24" t="n">
        <f aca="false">I65/H65</f>
        <v>0.628346456692913</v>
      </c>
      <c r="P65" s="23" t="n">
        <f aca="false">'Raw Data'!L72</f>
        <v>9.63</v>
      </c>
    </row>
    <row r="66" customFormat="false" ht="15" hidden="false" customHeight="false" outlineLevel="0" collapsed="false">
      <c r="A66" s="12" t="s">
        <v>46</v>
      </c>
      <c r="B66" s="12" t="s">
        <v>78</v>
      </c>
      <c r="C66" s="22" t="n">
        <f aca="false">'Raw Data'!D73</f>
        <v>933</v>
      </c>
      <c r="D66" s="22" t="n">
        <f aca="false">'Raw Data'!E73</f>
        <v>133</v>
      </c>
      <c r="E66" s="22" t="n">
        <f aca="false">'Raw Data'!F73</f>
        <v>57</v>
      </c>
      <c r="F66" s="22" t="n">
        <f aca="false">'Raw Data'!G73+'Raw Data'!H73</f>
        <v>264</v>
      </c>
      <c r="G66" s="22" t="n">
        <f aca="false">'Raw Data'!I73</f>
        <v>568</v>
      </c>
      <c r="H66" s="22" t="n">
        <f aca="false">'Raw Data'!J73</f>
        <v>885</v>
      </c>
      <c r="I66" s="22" t="n">
        <f aca="false">'Raw Data'!K73</f>
        <v>613</v>
      </c>
      <c r="J66" s="23" t="n">
        <f aca="false">G66/F66</f>
        <v>2.15151515151515</v>
      </c>
      <c r="K66" s="24" t="n">
        <f aca="false">E66/F66</f>
        <v>0.215909090909091</v>
      </c>
      <c r="L66" s="24" t="n">
        <f aca="false">E66/H66</f>
        <v>0.064406779661017</v>
      </c>
      <c r="M66" s="25" t="n">
        <f aca="false">LN(H66)</f>
        <v>6.78558764500793</v>
      </c>
      <c r="N66" s="24" t="n">
        <f aca="false">(C66-'Raw Data'!D72)/'Raw Data'!D72</f>
        <v>0.218015665796345</v>
      </c>
      <c r="O66" s="24" t="n">
        <f aca="false">I66/H66</f>
        <v>0.692655367231639</v>
      </c>
      <c r="P66" s="23" t="n">
        <f aca="false">'Raw Data'!L73</f>
        <v>12.51</v>
      </c>
    </row>
    <row r="67" customFormat="false" ht="15" hidden="false" customHeight="false" outlineLevel="0" collapsed="false">
      <c r="A67" s="12" t="s">
        <v>46</v>
      </c>
      <c r="B67" s="12" t="s">
        <v>79</v>
      </c>
      <c r="C67" s="22" t="n">
        <f aca="false">'Raw Data'!D74</f>
        <v>1145</v>
      </c>
      <c r="D67" s="22" t="n">
        <f aca="false">'Raw Data'!E74</f>
        <v>155</v>
      </c>
      <c r="E67" s="22" t="n">
        <f aca="false">'Raw Data'!F74</f>
        <v>52</v>
      </c>
      <c r="F67" s="22" t="n">
        <f aca="false">'Raw Data'!G74+'Raw Data'!H74</f>
        <v>417</v>
      </c>
      <c r="G67" s="22" t="n">
        <f aca="false">'Raw Data'!I74</f>
        <v>449</v>
      </c>
      <c r="H67" s="22" t="n">
        <f aca="false">'Raw Data'!J74</f>
        <v>929</v>
      </c>
      <c r="I67" s="22" t="n">
        <f aca="false">'Raw Data'!K74</f>
        <v>574</v>
      </c>
      <c r="J67" s="23" t="n">
        <f aca="false">G67/F67</f>
        <v>1.07673860911271</v>
      </c>
      <c r="K67" s="24" t="n">
        <f aca="false">E67/F67</f>
        <v>0.124700239808153</v>
      </c>
      <c r="L67" s="24" t="n">
        <f aca="false">E67/H67</f>
        <v>0.0559741657696448</v>
      </c>
      <c r="M67" s="25" t="n">
        <f aca="false">LN(H67)</f>
        <v>6.83410873881384</v>
      </c>
      <c r="N67" s="24" t="n">
        <f aca="false">(C67-'Raw Data'!D73)/'Raw Data'!D73</f>
        <v>0.227224008574491</v>
      </c>
      <c r="O67" s="24" t="n">
        <f aca="false">I67/H67</f>
        <v>0.617868675995694</v>
      </c>
      <c r="P67" s="23" t="n">
        <f aca="false">'Raw Data'!L74</f>
        <v>9.43</v>
      </c>
    </row>
    <row r="68" customFormat="false" ht="15" hidden="false" customHeight="false" outlineLevel="0" collapsed="false">
      <c r="A68" s="12" t="s">
        <v>46</v>
      </c>
      <c r="B68" s="12" t="s">
        <v>80</v>
      </c>
      <c r="C68" s="22" t="n">
        <f aca="false">'Raw Data'!D75</f>
        <v>1241</v>
      </c>
      <c r="D68" s="22" t="n">
        <f aca="false">'Raw Data'!E75</f>
        <v>178</v>
      </c>
      <c r="E68" s="22" t="n">
        <f aca="false">'Raw Data'!F75</f>
        <v>64</v>
      </c>
      <c r="F68" s="22" t="n">
        <f aca="false">'Raw Data'!G75+'Raw Data'!H75</f>
        <v>482</v>
      </c>
      <c r="G68" s="22" t="n">
        <f aca="false">'Raw Data'!I75</f>
        <v>860</v>
      </c>
      <c r="H68" s="22" t="n">
        <f aca="false">'Raw Data'!J75</f>
        <v>1436</v>
      </c>
      <c r="I68" s="22" t="n">
        <f aca="false">'Raw Data'!K75</f>
        <v>992</v>
      </c>
      <c r="J68" s="23" t="n">
        <f aca="false">G68/F68</f>
        <v>1.78423236514523</v>
      </c>
      <c r="K68" s="24" t="n">
        <f aca="false">E68/F68</f>
        <v>0.132780082987552</v>
      </c>
      <c r="L68" s="24" t="n">
        <f aca="false">E68/H68</f>
        <v>0.0445682451253482</v>
      </c>
      <c r="M68" s="25" t="n">
        <f aca="false">LN(H68)</f>
        <v>7.26961674960817</v>
      </c>
      <c r="N68" s="24" t="n">
        <f aca="false">(C68-'Raw Data'!D74)/'Raw Data'!D74</f>
        <v>0.0838427947598253</v>
      </c>
      <c r="O68" s="24" t="n">
        <f aca="false">I68/H68</f>
        <v>0.690807799442897</v>
      </c>
      <c r="P68" s="23" t="n">
        <f aca="false">'Raw Data'!L75</f>
        <v>11.4</v>
      </c>
    </row>
    <row r="69" customFormat="false" ht="15" hidden="false" customHeight="false" outlineLevel="0" collapsed="false">
      <c r="A69" s="12" t="s">
        <v>46</v>
      </c>
      <c r="B69" s="12" t="s">
        <v>81</v>
      </c>
      <c r="C69" s="22" t="n">
        <f aca="false">'Raw Data'!D76</f>
        <v>1436</v>
      </c>
      <c r="D69" s="22" t="n">
        <f aca="false">'Raw Data'!E76</f>
        <v>170</v>
      </c>
      <c r="E69" s="22" t="n">
        <f aca="false">'Raw Data'!F76</f>
        <v>24</v>
      </c>
      <c r="F69" s="22" t="n">
        <f aca="false">'Raw Data'!G76+'Raw Data'!H76</f>
        <v>494</v>
      </c>
      <c r="G69" s="22" t="n">
        <f aca="false">'Raw Data'!I76</f>
        <v>1040</v>
      </c>
      <c r="H69" s="22" t="n">
        <f aca="false">'Raw Data'!J76</f>
        <v>1645</v>
      </c>
      <c r="I69" s="22" t="n">
        <f aca="false">'Raw Data'!K76</f>
        <v>1140</v>
      </c>
      <c r="J69" s="23" t="n">
        <f aca="false">G69/F69</f>
        <v>2.10526315789474</v>
      </c>
      <c r="K69" s="24" t="n">
        <f aca="false">E69/F69</f>
        <v>0.048582995951417</v>
      </c>
      <c r="L69" s="24" t="n">
        <f aca="false">E69/H69</f>
        <v>0.0145896656534954</v>
      </c>
      <c r="M69" s="25" t="n">
        <f aca="false">LN(H69)</f>
        <v>7.40549566319947</v>
      </c>
      <c r="N69" s="24" t="n">
        <f aca="false">(C69-'Raw Data'!D75)/'Raw Data'!D75</f>
        <v>0.157131345688961</v>
      </c>
      <c r="O69" s="24" t="n">
        <f aca="false">I69/H69</f>
        <v>0.693009118541033</v>
      </c>
      <c r="P69" s="23" t="n">
        <f aca="false">'Raw Data'!L76</f>
        <v>4.24</v>
      </c>
    </row>
    <row r="70" customFormat="false" ht="15" hidden="false" customHeight="false" outlineLevel="0" collapsed="false">
      <c r="A70" s="12" t="s">
        <v>46</v>
      </c>
      <c r="B70" s="12" t="s">
        <v>82</v>
      </c>
      <c r="C70" s="22" t="n">
        <f aca="false">'Raw Data'!D77</f>
        <v>1622</v>
      </c>
      <c r="D70" s="22" t="n">
        <f aca="false">'Raw Data'!E77</f>
        <v>257</v>
      </c>
      <c r="E70" s="22" t="n">
        <f aca="false">'Raw Data'!F77</f>
        <v>69</v>
      </c>
      <c r="F70" s="22" t="n">
        <f aca="false">'Raw Data'!G77+'Raw Data'!H77</f>
        <v>563</v>
      </c>
      <c r="G70" s="22" t="n">
        <f aca="false">'Raw Data'!I77</f>
        <v>962</v>
      </c>
      <c r="H70" s="22" t="n">
        <f aca="false">'Raw Data'!J77</f>
        <v>1676</v>
      </c>
      <c r="I70" s="22" t="n">
        <f aca="false">'Raw Data'!K77</f>
        <v>1062</v>
      </c>
      <c r="J70" s="23" t="n">
        <f aca="false">G70/F70</f>
        <v>1.70870337477798</v>
      </c>
      <c r="K70" s="24" t="n">
        <f aca="false">E70/F70</f>
        <v>0.122557726465364</v>
      </c>
      <c r="L70" s="24" t="n">
        <f aca="false">E70/H70</f>
        <v>0.0411694510739857</v>
      </c>
      <c r="M70" s="25" t="n">
        <f aca="false">LN(H70)</f>
        <v>7.42416528104203</v>
      </c>
      <c r="N70" s="24" t="n">
        <f aca="false">(C70-'Raw Data'!D76)/'Raw Data'!D76</f>
        <v>0.129526462395543</v>
      </c>
      <c r="O70" s="24" t="n">
        <f aca="false">I70/H70</f>
        <v>0.633651551312649</v>
      </c>
      <c r="P70" s="23" t="n">
        <f aca="false">'Raw Data'!L77</f>
        <v>12.25</v>
      </c>
    </row>
    <row r="71" customFormat="false" ht="15" hidden="false" customHeight="false" outlineLevel="0" collapsed="false">
      <c r="A71" s="12" t="s">
        <v>46</v>
      </c>
      <c r="B71" s="12" t="s">
        <v>83</v>
      </c>
      <c r="C71" s="22" t="n">
        <f aca="false">'Raw Data'!D78</f>
        <v>2690</v>
      </c>
      <c r="D71" s="22" t="n">
        <f aca="false">'Raw Data'!E78</f>
        <v>652</v>
      </c>
      <c r="E71" s="22" t="n">
        <f aca="false">'Raw Data'!F78</f>
        <v>326</v>
      </c>
      <c r="F71" s="22" t="n">
        <f aca="false">'Raw Data'!G78+'Raw Data'!H78</f>
        <v>876</v>
      </c>
      <c r="G71" s="22" t="n">
        <f aca="false">'Raw Data'!I78</f>
        <v>689</v>
      </c>
      <c r="H71" s="22" t="n">
        <f aca="false">'Raw Data'!J78</f>
        <v>1824</v>
      </c>
      <c r="I71" s="22" t="n">
        <f aca="false">'Raw Data'!K78</f>
        <v>1012</v>
      </c>
      <c r="J71" s="23" t="n">
        <f aca="false">G71/F71</f>
        <v>0.786529680365297</v>
      </c>
      <c r="K71" s="24" t="n">
        <f aca="false">E71/F71</f>
        <v>0.372146118721461</v>
      </c>
      <c r="L71" s="24" t="n">
        <f aca="false">E71/H71</f>
        <v>0.178728070175439</v>
      </c>
      <c r="M71" s="25" t="n">
        <f aca="false">LN(H71)</f>
        <v>7.50878717063428</v>
      </c>
      <c r="N71" s="24" t="n">
        <f aca="false">(C71-'Raw Data'!D77)/'Raw Data'!D77</f>
        <v>0.658446362515413</v>
      </c>
      <c r="O71" s="24" t="n">
        <f aca="false">I71/H71</f>
        <v>0.554824561403509</v>
      </c>
      <c r="P71" s="23" t="n">
        <f aca="false">'Raw Data'!L78</f>
        <v>58.01</v>
      </c>
    </row>
    <row r="72" customFormat="false" ht="15" hidden="false" customHeight="false" outlineLevel="0" collapsed="false">
      <c r="A72" s="12" t="s">
        <v>46</v>
      </c>
      <c r="B72" s="12" t="s">
        <v>84</v>
      </c>
      <c r="C72" s="22" t="n">
        <f aca="false">'Raw Data'!D79</f>
        <v>2404</v>
      </c>
      <c r="D72" s="22" t="n">
        <f aca="false">'Raw Data'!E79</f>
        <v>297</v>
      </c>
      <c r="E72" s="22" t="n">
        <f aca="false">'Raw Data'!F79</f>
        <v>165</v>
      </c>
      <c r="F72" s="22" t="n">
        <f aca="false">'Raw Data'!G79+'Raw Data'!H79</f>
        <v>1029</v>
      </c>
      <c r="G72" s="22" t="n">
        <f aca="false">'Raw Data'!I79</f>
        <v>980</v>
      </c>
      <c r="H72" s="22" t="n">
        <f aca="false">'Raw Data'!J79</f>
        <v>2218</v>
      </c>
      <c r="I72" s="22" t="n">
        <f aca="false">'Raw Data'!K79</f>
        <v>1351</v>
      </c>
      <c r="J72" s="23" t="n">
        <f aca="false">G72/F72</f>
        <v>0.952380952380952</v>
      </c>
      <c r="K72" s="24" t="n">
        <f aca="false">E72/F72</f>
        <v>0.160349854227405</v>
      </c>
      <c r="L72" s="24" t="n">
        <f aca="false">E72/H72</f>
        <v>0.0743913435527502</v>
      </c>
      <c r="M72" s="25" t="n">
        <f aca="false">LN(H72)</f>
        <v>7.70436116791031</v>
      </c>
      <c r="N72" s="24" t="n">
        <f aca="false">(C72-'Raw Data'!D78)/'Raw Data'!D78</f>
        <v>-0.10631970260223</v>
      </c>
      <c r="O72" s="24" t="n">
        <f aca="false">I72/H72</f>
        <v>0.609107303877367</v>
      </c>
      <c r="P72" s="23" t="n">
        <f aca="false">'Raw Data'!L79</f>
        <v>29.32</v>
      </c>
    </row>
    <row r="73" customFormat="false" ht="15" hidden="false" customHeight="false" outlineLevel="0" collapsed="false">
      <c r="A73" s="12" t="s">
        <v>46</v>
      </c>
      <c r="B73" s="12" t="s">
        <v>85</v>
      </c>
      <c r="C73" s="22" t="n">
        <f aca="false">'Raw Data'!D80</f>
        <v>2902</v>
      </c>
      <c r="D73" s="22" t="n">
        <f aca="false">'Raw Data'!E80</f>
        <v>377</v>
      </c>
      <c r="E73" s="22" t="n">
        <f aca="false">'Raw Data'!F80</f>
        <v>132</v>
      </c>
      <c r="F73" s="22" t="n">
        <f aca="false">'Raw Data'!G80+'Raw Data'!H80</f>
        <v>1146</v>
      </c>
      <c r="G73" s="22" t="n">
        <f aca="false">'Raw Data'!I80</f>
        <v>1339</v>
      </c>
      <c r="H73" s="22" t="n">
        <f aca="false">'Raw Data'!J80</f>
        <v>2717</v>
      </c>
      <c r="I73" s="22" t="n">
        <f aca="false">'Raw Data'!K80</f>
        <v>1711</v>
      </c>
      <c r="J73" s="23" t="n">
        <f aca="false">G73/F73</f>
        <v>1.16841186736475</v>
      </c>
      <c r="K73" s="24" t="n">
        <f aca="false">E73/F73</f>
        <v>0.115183246073298</v>
      </c>
      <c r="L73" s="24" t="n">
        <f aca="false">E73/H73</f>
        <v>0.048582995951417</v>
      </c>
      <c r="M73" s="25" t="n">
        <f aca="false">LN(H73)</f>
        <v>7.90728360942635</v>
      </c>
      <c r="N73" s="24" t="n">
        <f aca="false">(C73-'Raw Data'!D79)/'Raw Data'!D79</f>
        <v>0.207154742096506</v>
      </c>
      <c r="O73" s="24" t="n">
        <f aca="false">I73/H73</f>
        <v>0.629738682370261</v>
      </c>
      <c r="P73" s="23" t="n">
        <f aca="false">'Raw Data'!L80</f>
        <v>23.39</v>
      </c>
    </row>
    <row r="74" customFormat="false" ht="15" hidden="false" customHeight="false" outlineLevel="0" collapsed="false">
      <c r="A74" s="12" t="s">
        <v>46</v>
      </c>
      <c r="B74" s="12" t="s">
        <v>86</v>
      </c>
      <c r="C74" s="22" t="n">
        <f aca="false">'Raw Data'!D81</f>
        <v>3300</v>
      </c>
      <c r="D74" s="22" t="n">
        <f aca="false">'Raw Data'!E81</f>
        <v>471</v>
      </c>
      <c r="E74" s="22" t="n">
        <f aca="false">'Raw Data'!F81</f>
        <v>175</v>
      </c>
      <c r="F74" s="22" t="n">
        <f aca="false">'Raw Data'!G81+'Raw Data'!H81</f>
        <v>1311</v>
      </c>
      <c r="G74" s="22" t="n">
        <f aca="false">'Raw Data'!I81</f>
        <v>1165</v>
      </c>
      <c r="H74" s="22" t="n">
        <f aca="false">'Raw Data'!J81</f>
        <v>2732</v>
      </c>
      <c r="I74" s="22" t="n">
        <f aca="false">'Raw Data'!K81</f>
        <v>1584</v>
      </c>
      <c r="J74" s="23" t="n">
        <f aca="false">G74/F74</f>
        <v>0.888634630053394</v>
      </c>
      <c r="K74" s="24" t="n">
        <f aca="false">E74/F74</f>
        <v>0.13348588863463</v>
      </c>
      <c r="L74" s="24" t="n">
        <f aca="false">E74/H74</f>
        <v>0.0640556368960469</v>
      </c>
      <c r="M74" s="25" t="n">
        <f aca="false">LN(H74)</f>
        <v>7.91278922069068</v>
      </c>
      <c r="N74" s="24" t="n">
        <f aca="false">(C74-'Raw Data'!D80)/'Raw Data'!D80</f>
        <v>0.137146795313577</v>
      </c>
      <c r="O74" s="24" t="n">
        <f aca="false">I74/H74</f>
        <v>0.579795021961933</v>
      </c>
      <c r="P74" s="23" t="n">
        <f aca="false">'Raw Data'!L81</f>
        <v>31.2</v>
      </c>
    </row>
    <row r="75" customFormat="false" ht="15" hidden="false" customHeight="false" outlineLevel="0" collapsed="false">
      <c r="A75" s="15" t="s">
        <v>47</v>
      </c>
      <c r="B75" s="15" t="s">
        <v>77</v>
      </c>
      <c r="C75" s="26" t="n">
        <f aca="false">'Raw Data'!D83</f>
        <v>2074</v>
      </c>
      <c r="D75" s="26" t="n">
        <f aca="false">'Raw Data'!E83</f>
        <v>263</v>
      </c>
      <c r="E75" s="26" t="n">
        <f aca="false">'Raw Data'!F83</f>
        <v>143</v>
      </c>
      <c r="F75" s="26" t="n">
        <f aca="false">'Raw Data'!G83+'Raw Data'!H83</f>
        <v>683</v>
      </c>
      <c r="G75" s="26" t="n">
        <f aca="false">'Raw Data'!I83</f>
        <v>804</v>
      </c>
      <c r="H75" s="26" t="n">
        <f aca="false">'Raw Data'!J83</f>
        <v>1675</v>
      </c>
      <c r="I75" s="26" t="n">
        <f aca="false">'Raw Data'!K83</f>
        <v>877</v>
      </c>
      <c r="J75" s="27" t="n">
        <f aca="false">G75/F75</f>
        <v>1.17715959004392</v>
      </c>
      <c r="K75" s="28" t="n">
        <f aca="false">E75/F75</f>
        <v>0.209370424597365</v>
      </c>
      <c r="L75" s="28" t="n">
        <f aca="false">E75/H75</f>
        <v>0.0853731343283582</v>
      </c>
      <c r="M75" s="29" t="n">
        <f aca="false">LN(H75)</f>
        <v>7.42356844425917</v>
      </c>
      <c r="N75" s="28" t="n">
        <f aca="false">(C75-'Raw Data'!D82)/'Raw Data'!D82</f>
        <v>0.110873058382432</v>
      </c>
      <c r="O75" s="28" t="n">
        <f aca="false">I75/H75</f>
        <v>0.523582089552239</v>
      </c>
      <c r="P75" s="27" t="n">
        <f aca="false">'Raw Data'!L83</f>
        <v>8.76</v>
      </c>
    </row>
    <row r="76" customFormat="false" ht="15" hidden="false" customHeight="false" outlineLevel="0" collapsed="false">
      <c r="A76" s="15" t="s">
        <v>47</v>
      </c>
      <c r="B76" s="15" t="s">
        <v>78</v>
      </c>
      <c r="C76" s="26" t="n">
        <f aca="false">'Raw Data'!D84</f>
        <v>2249</v>
      </c>
      <c r="D76" s="26" t="n">
        <f aca="false">'Raw Data'!E84</f>
        <v>282</v>
      </c>
      <c r="E76" s="26" t="n">
        <f aca="false">'Raw Data'!F84</f>
        <v>158</v>
      </c>
      <c r="F76" s="26" t="n">
        <f aca="false">'Raw Data'!G84+'Raw Data'!H84</f>
        <v>816</v>
      </c>
      <c r="G76" s="26" t="n">
        <f aca="false">'Raw Data'!I84</f>
        <v>1036</v>
      </c>
      <c r="H76" s="26" t="n">
        <f aca="false">'Raw Data'!J84</f>
        <v>2045</v>
      </c>
      <c r="I76" s="26" t="n">
        <f aca="false">'Raw Data'!K84</f>
        <v>1139</v>
      </c>
      <c r="J76" s="27" t="n">
        <f aca="false">G76/F76</f>
        <v>1.26960784313725</v>
      </c>
      <c r="K76" s="28" t="n">
        <f aca="false">E76/F76</f>
        <v>0.193627450980392</v>
      </c>
      <c r="L76" s="28" t="n">
        <f aca="false">E76/H76</f>
        <v>0.0772616136919316</v>
      </c>
      <c r="M76" s="29" t="n">
        <f aca="false">LN(H76)</f>
        <v>7.6231530684769</v>
      </c>
      <c r="N76" s="28" t="n">
        <f aca="false">(C76-'Raw Data'!D83)/'Raw Data'!D83</f>
        <v>0.0843780135004822</v>
      </c>
      <c r="O76" s="28" t="n">
        <f aca="false">I76/H76</f>
        <v>0.556968215158924</v>
      </c>
      <c r="P76" s="27" t="n">
        <f aca="false">'Raw Data'!L84</f>
        <v>9.64</v>
      </c>
    </row>
    <row r="77" customFormat="false" ht="15" hidden="false" customHeight="false" outlineLevel="0" collapsed="false">
      <c r="A77" s="15" t="s">
        <v>47</v>
      </c>
      <c r="B77" s="15" t="s">
        <v>79</v>
      </c>
      <c r="C77" s="26" t="n">
        <f aca="false">'Raw Data'!D85</f>
        <v>2453</v>
      </c>
      <c r="D77" s="26" t="n">
        <f aca="false">'Raw Data'!E85</f>
        <v>247</v>
      </c>
      <c r="E77" s="26" t="n">
        <f aca="false">'Raw Data'!F85</f>
        <v>113</v>
      </c>
      <c r="F77" s="26" t="n">
        <f aca="false">'Raw Data'!G85+'Raw Data'!H85</f>
        <v>906</v>
      </c>
      <c r="G77" s="26" t="n">
        <f aca="false">'Raw Data'!I85</f>
        <v>1047</v>
      </c>
      <c r="H77" s="26" t="n">
        <f aca="false">'Raw Data'!J85</f>
        <v>2182</v>
      </c>
      <c r="I77" s="26" t="n">
        <f aca="false">'Raw Data'!K85</f>
        <v>1119</v>
      </c>
      <c r="J77" s="27" t="n">
        <f aca="false">G77/F77</f>
        <v>1.15562913907285</v>
      </c>
      <c r="K77" s="28" t="n">
        <f aca="false">E77/F77</f>
        <v>0.124724061810155</v>
      </c>
      <c r="L77" s="28" t="n">
        <f aca="false">E77/H77</f>
        <v>0.0517873510540788</v>
      </c>
      <c r="M77" s="29" t="n">
        <f aca="false">LN(H77)</f>
        <v>7.68799716639302</v>
      </c>
      <c r="N77" s="28" t="n">
        <f aca="false">(C77-'Raw Data'!D84)/'Raw Data'!D84</f>
        <v>0.0907069808803913</v>
      </c>
      <c r="O77" s="28" t="n">
        <f aca="false">I77/H77</f>
        <v>0.512832263978002</v>
      </c>
      <c r="P77" s="27" t="n">
        <f aca="false">'Raw Data'!L85</f>
        <v>6.91</v>
      </c>
    </row>
    <row r="78" customFormat="false" ht="15" hidden="false" customHeight="false" outlineLevel="0" collapsed="false">
      <c r="A78" s="15" t="s">
        <v>47</v>
      </c>
      <c r="B78" s="15" t="s">
        <v>80</v>
      </c>
      <c r="C78" s="26" t="n">
        <f aca="false">'Raw Data'!D86</f>
        <v>2562</v>
      </c>
      <c r="D78" s="26" t="n">
        <f aca="false">'Raw Data'!E86</f>
        <v>219</v>
      </c>
      <c r="E78" s="26" t="n">
        <f aca="false">'Raw Data'!F86</f>
        <v>66</v>
      </c>
      <c r="F78" s="26" t="n">
        <f aca="false">'Raw Data'!G86+'Raw Data'!H86</f>
        <v>946</v>
      </c>
      <c r="G78" s="26" t="n">
        <f aca="false">'Raw Data'!I86</f>
        <v>923</v>
      </c>
      <c r="H78" s="26" t="n">
        <f aca="false">'Raw Data'!J86</f>
        <v>2131</v>
      </c>
      <c r="I78" s="26" t="n">
        <f aca="false">'Raw Data'!K86</f>
        <v>1074</v>
      </c>
      <c r="J78" s="27" t="n">
        <f aca="false">G78/F78</f>
        <v>0.97568710359408</v>
      </c>
      <c r="K78" s="28" t="n">
        <f aca="false">E78/F78</f>
        <v>0.0697674418604651</v>
      </c>
      <c r="L78" s="28" t="n">
        <f aca="false">E78/H78</f>
        <v>0.0309713749413421</v>
      </c>
      <c r="M78" s="29" t="n">
        <f aca="false">LN(H78)</f>
        <v>7.66434663209862</v>
      </c>
      <c r="N78" s="28" t="n">
        <f aca="false">(C78-'Raw Data'!D85)/'Raw Data'!D85</f>
        <v>0.0444353852425601</v>
      </c>
      <c r="O78" s="28" t="n">
        <f aca="false">I78/H78</f>
        <v>0.50398873768184</v>
      </c>
      <c r="P78" s="27" t="n">
        <f aca="false">'Raw Data'!L86</f>
        <v>4.01</v>
      </c>
    </row>
    <row r="79" customFormat="false" ht="15" hidden="false" customHeight="false" outlineLevel="0" collapsed="false">
      <c r="A79" s="15" t="s">
        <v>47</v>
      </c>
      <c r="B79" s="15" t="s">
        <v>81</v>
      </c>
      <c r="C79" s="26" t="n">
        <f aca="false">'Raw Data'!D87</f>
        <v>2379</v>
      </c>
      <c r="D79" s="26" t="n">
        <f aca="false">'Raw Data'!E87</f>
        <v>178</v>
      </c>
      <c r="E79" s="26" t="n">
        <f aca="false">'Raw Data'!F87</f>
        <v>36</v>
      </c>
      <c r="F79" s="26" t="n">
        <f aca="false">'Raw Data'!G87+'Raw Data'!H87</f>
        <v>971</v>
      </c>
      <c r="G79" s="26" t="n">
        <f aca="false">'Raw Data'!I87</f>
        <v>868</v>
      </c>
      <c r="H79" s="26" t="n">
        <f aca="false">'Raw Data'!J87</f>
        <v>2118</v>
      </c>
      <c r="I79" s="26" t="n">
        <f aca="false">'Raw Data'!K87</f>
        <v>1210</v>
      </c>
      <c r="J79" s="27" t="n">
        <f aca="false">G79/F79</f>
        <v>0.893923789907312</v>
      </c>
      <c r="K79" s="28" t="n">
        <f aca="false">E79/F79</f>
        <v>0.0370751802265705</v>
      </c>
      <c r="L79" s="28" t="n">
        <f aca="false">E79/H79</f>
        <v>0.0169971671388102</v>
      </c>
      <c r="M79" s="29" t="n">
        <f aca="false">LN(H79)</f>
        <v>7.65822752616135</v>
      </c>
      <c r="N79" s="28" t="n">
        <f aca="false">(C79-'Raw Data'!D86)/'Raw Data'!D86</f>
        <v>-0.0714285714285714</v>
      </c>
      <c r="O79" s="28" t="n">
        <f aca="false">I79/H79</f>
        <v>0.571293673276676</v>
      </c>
      <c r="P79" s="27" t="n">
        <f aca="false">'Raw Data'!L87</f>
        <v>2.2</v>
      </c>
    </row>
    <row r="80" customFormat="false" ht="15" hidden="false" customHeight="false" outlineLevel="0" collapsed="false">
      <c r="A80" s="15" t="s">
        <v>47</v>
      </c>
      <c r="B80" s="15" t="s">
        <v>82</v>
      </c>
      <c r="C80" s="26" t="n">
        <f aca="false">'Raw Data'!D88</f>
        <v>1861</v>
      </c>
      <c r="D80" s="26" t="n">
        <f aca="false">'Raw Data'!E88</f>
        <v>115</v>
      </c>
      <c r="E80" s="26" t="n">
        <f aca="false">'Raw Data'!F88</f>
        <v>10</v>
      </c>
      <c r="F80" s="26" t="n">
        <f aca="false">'Raw Data'!G88+'Raw Data'!H88</f>
        <v>980</v>
      </c>
      <c r="G80" s="26" t="n">
        <f aca="false">'Raw Data'!I88</f>
        <v>901</v>
      </c>
      <c r="H80" s="26" t="n">
        <f aca="false">'Raw Data'!J88</f>
        <v>2149</v>
      </c>
      <c r="I80" s="26" t="n">
        <f aca="false">'Raw Data'!K88</f>
        <v>1231</v>
      </c>
      <c r="J80" s="27" t="n">
        <f aca="false">G80/F80</f>
        <v>0.919387755102041</v>
      </c>
      <c r="K80" s="28" t="n">
        <f aca="false">E80/F80</f>
        <v>0.0102040816326531</v>
      </c>
      <c r="L80" s="28" t="n">
        <f aca="false">E80/H80</f>
        <v>0.00465332712889716</v>
      </c>
      <c r="M80" s="29" t="n">
        <f aca="false">LN(H80)</f>
        <v>7.67275789664251</v>
      </c>
      <c r="N80" s="28" t="n">
        <f aca="false">(C80-'Raw Data'!D87)/'Raw Data'!D87</f>
        <v>-0.217738545607398</v>
      </c>
      <c r="O80" s="28" t="n">
        <f aca="false">I80/H80</f>
        <v>0.572824569567241</v>
      </c>
      <c r="P80" s="27" t="n">
        <f aca="false">'Raw Data'!L88</f>
        <v>0.58</v>
      </c>
    </row>
    <row r="81" customFormat="false" ht="15" hidden="false" customHeight="false" outlineLevel="0" collapsed="false">
      <c r="A81" s="15" t="s">
        <v>47</v>
      </c>
      <c r="B81" s="15" t="s">
        <v>83</v>
      </c>
      <c r="C81" s="26" t="n">
        <f aca="false">'Raw Data'!D89</f>
        <v>3042</v>
      </c>
      <c r="D81" s="26" t="n">
        <f aca="false">'Raw Data'!E89</f>
        <v>387</v>
      </c>
      <c r="E81" s="26" t="n">
        <f aca="false">'Raw Data'!F89</f>
        <v>156</v>
      </c>
      <c r="F81" s="26" t="n">
        <f aca="false">'Raw Data'!G89+'Raw Data'!H89</f>
        <v>1130</v>
      </c>
      <c r="G81" s="26" t="n">
        <f aca="false">'Raw Data'!I89</f>
        <v>938</v>
      </c>
      <c r="H81" s="26" t="n">
        <f aca="false">'Raw Data'!J89</f>
        <v>2442</v>
      </c>
      <c r="I81" s="26" t="n">
        <f aca="false">'Raw Data'!K89</f>
        <v>1187</v>
      </c>
      <c r="J81" s="27" t="n">
        <f aca="false">G81/F81</f>
        <v>0.830088495575221</v>
      </c>
      <c r="K81" s="28" t="n">
        <f aca="false">E81/F81</f>
        <v>0.138053097345133</v>
      </c>
      <c r="L81" s="28" t="n">
        <f aca="false">E81/H81</f>
        <v>0.0638820638820639</v>
      </c>
      <c r="M81" s="29" t="n">
        <f aca="false">LN(H81)</f>
        <v>7.80057265467065</v>
      </c>
      <c r="N81" s="28" t="n">
        <f aca="false">(C81-'Raw Data'!D88)/'Raw Data'!D88</f>
        <v>0.634605051047824</v>
      </c>
      <c r="O81" s="28" t="n">
        <f aca="false">I81/H81</f>
        <v>0.486076986076986</v>
      </c>
      <c r="P81" s="27" t="n">
        <f aca="false">'Raw Data'!L89</f>
        <v>9.5</v>
      </c>
    </row>
    <row r="82" customFormat="false" ht="15" hidden="false" customHeight="false" outlineLevel="0" collapsed="false">
      <c r="A82" s="15" t="s">
        <v>47</v>
      </c>
      <c r="B82" s="15" t="s">
        <v>84</v>
      </c>
      <c r="C82" s="26" t="n">
        <f aca="false">'Raw Data'!D90</f>
        <v>3039</v>
      </c>
      <c r="D82" s="26" t="n">
        <f aca="false">'Raw Data'!E90</f>
        <v>264</v>
      </c>
      <c r="E82" s="26" t="n">
        <f aca="false">'Raw Data'!F90</f>
        <v>23</v>
      </c>
      <c r="F82" s="26" t="n">
        <f aca="false">'Raw Data'!G90+'Raw Data'!H90</f>
        <v>1123</v>
      </c>
      <c r="G82" s="26" t="n">
        <f aca="false">'Raw Data'!I90</f>
        <v>933</v>
      </c>
      <c r="H82" s="26" t="n">
        <f aca="false">'Raw Data'!J90</f>
        <v>2421</v>
      </c>
      <c r="I82" s="26" t="n">
        <f aca="false">'Raw Data'!K90</f>
        <v>1121</v>
      </c>
      <c r="J82" s="27" t="n">
        <f aca="false">G82/F82</f>
        <v>0.830810329474622</v>
      </c>
      <c r="K82" s="28" t="n">
        <f aca="false">E82/F82</f>
        <v>0.0204808548530721</v>
      </c>
      <c r="L82" s="28" t="n">
        <f aca="false">E82/H82</f>
        <v>0.00950020652622883</v>
      </c>
      <c r="M82" s="29" t="n">
        <f aca="false">LN(H82)</f>
        <v>7.79193595693806</v>
      </c>
      <c r="N82" s="28" t="n">
        <f aca="false">(C82-'Raw Data'!D89)/'Raw Data'!D89</f>
        <v>-0.000986193293885602</v>
      </c>
      <c r="O82" s="28" t="n">
        <f aca="false">I82/H82</f>
        <v>0.46303180503924</v>
      </c>
      <c r="P82" s="27" t="n">
        <f aca="false">'Raw Data'!L90</f>
        <v>1.39</v>
      </c>
    </row>
    <row r="83" customFormat="false" ht="15" hidden="false" customHeight="false" outlineLevel="0" collapsed="false">
      <c r="A83" s="15" t="s">
        <v>47</v>
      </c>
      <c r="B83" s="15" t="s">
        <v>85</v>
      </c>
      <c r="C83" s="26" t="n">
        <f aca="false">'Raw Data'!D91</f>
        <v>2672</v>
      </c>
      <c r="D83" s="26" t="n">
        <f aca="false">'Raw Data'!E91</f>
        <v>-29</v>
      </c>
      <c r="E83" s="26" t="n">
        <f aca="false">'Raw Data'!F91</f>
        <v>-135</v>
      </c>
      <c r="F83" s="26" t="n">
        <f aca="false">'Raw Data'!G91+'Raw Data'!H91</f>
        <v>976</v>
      </c>
      <c r="G83" s="26" t="n">
        <f aca="false">'Raw Data'!I91</f>
        <v>826</v>
      </c>
      <c r="H83" s="26" t="n">
        <f aca="false">'Raw Data'!J91</f>
        <v>2097</v>
      </c>
      <c r="I83" s="26" t="n">
        <f aca="false">'Raw Data'!K91</f>
        <v>1063</v>
      </c>
      <c r="J83" s="27" t="n">
        <f aca="false">G83/F83</f>
        <v>0.846311475409836</v>
      </c>
      <c r="K83" s="28" t="n">
        <f aca="false">E83/F83</f>
        <v>-0.138319672131148</v>
      </c>
      <c r="L83" s="28" t="n">
        <f aca="false">E83/H83</f>
        <v>-0.0643776824034335</v>
      </c>
      <c r="M83" s="29" t="n">
        <f aca="false">LN(H83)</f>
        <v>7.64826303090192</v>
      </c>
      <c r="N83" s="28" t="n">
        <f aca="false">(C83-'Raw Data'!D90)/'Raw Data'!D90</f>
        <v>-0.120763409016124</v>
      </c>
      <c r="O83" s="28" t="n">
        <f aca="false">I83/H83</f>
        <v>0.50691463996185</v>
      </c>
      <c r="P83" s="27" t="n">
        <f aca="false">'Raw Data'!L91</f>
        <v>-8.22</v>
      </c>
    </row>
    <row r="84" customFormat="false" ht="15" hidden="false" customHeight="false" outlineLevel="0" collapsed="false">
      <c r="A84" s="15" t="s">
        <v>47</v>
      </c>
      <c r="B84" s="15" t="s">
        <v>86</v>
      </c>
      <c r="C84" s="26" t="n">
        <f aca="false">'Raw Data'!D92</f>
        <v>2642</v>
      </c>
      <c r="D84" s="26" t="n">
        <f aca="false">'Raw Data'!E92</f>
        <v>46</v>
      </c>
      <c r="E84" s="26" t="n">
        <f aca="false">'Raw Data'!F92</f>
        <v>-84</v>
      </c>
      <c r="F84" s="26" t="n">
        <f aca="false">'Raw Data'!G92+'Raw Data'!H92</f>
        <v>894</v>
      </c>
      <c r="G84" s="26" t="n">
        <f aca="false">'Raw Data'!I92</f>
        <v>877</v>
      </c>
      <c r="H84" s="26" t="n">
        <f aca="false">'Raw Data'!J92</f>
        <v>2043</v>
      </c>
      <c r="I84" s="26" t="n">
        <f aca="false">'Raw Data'!K92</f>
        <v>1010</v>
      </c>
      <c r="J84" s="27" t="n">
        <f aca="false">G84/F84</f>
        <v>0.980984340044743</v>
      </c>
      <c r="K84" s="28" t="n">
        <f aca="false">E84/F84</f>
        <v>-0.0939597315436242</v>
      </c>
      <c r="L84" s="28" t="n">
        <f aca="false">E84/H84</f>
        <v>-0.0411160058737151</v>
      </c>
      <c r="M84" s="29" t="n">
        <f aca="false">LN(H84)</f>
        <v>7.62217459481762</v>
      </c>
      <c r="N84" s="28" t="n">
        <f aca="false">(C84-'Raw Data'!D91)/'Raw Data'!D91</f>
        <v>-0.0112275449101796</v>
      </c>
      <c r="O84" s="28" t="n">
        <f aca="false">I84/H84</f>
        <v>0.494371023005384</v>
      </c>
      <c r="P84" s="27" t="n">
        <f aca="false">'Raw Data'!L92</f>
        <v>-5.14</v>
      </c>
    </row>
    <row r="85" customFormat="false" ht="15" hidden="false" customHeight="false" outlineLevel="0" collapsed="false">
      <c r="A85" s="12" t="s">
        <v>48</v>
      </c>
      <c r="B85" s="12" t="s">
        <v>77</v>
      </c>
      <c r="C85" s="22" t="n">
        <f aca="false">'Raw Data'!D94</f>
        <v>1123</v>
      </c>
      <c r="D85" s="22" t="n">
        <f aca="false">'Raw Data'!E94</f>
        <v>37</v>
      </c>
      <c r="E85" s="22" t="n">
        <f aca="false">'Raw Data'!F94</f>
        <v>61</v>
      </c>
      <c r="F85" s="22" t="n">
        <f aca="false">'Raw Data'!G94+'Raw Data'!H94</f>
        <v>212</v>
      </c>
      <c r="G85" s="22" t="n">
        <f aca="false">'Raw Data'!I94</f>
        <v>343</v>
      </c>
      <c r="H85" s="22" t="n">
        <f aca="false">'Raw Data'!J94</f>
        <v>725</v>
      </c>
      <c r="I85" s="22" t="n">
        <f aca="false">'Raw Data'!K94</f>
        <v>94</v>
      </c>
      <c r="J85" s="23" t="n">
        <f aca="false">G85/F85</f>
        <v>1.61792452830189</v>
      </c>
      <c r="K85" s="24" t="n">
        <f aca="false">E85/F85</f>
        <v>0.287735849056604</v>
      </c>
      <c r="L85" s="24" t="n">
        <f aca="false">E85/H85</f>
        <v>0.0841379310344828</v>
      </c>
      <c r="M85" s="25" t="n">
        <f aca="false">LN(H85)</f>
        <v>6.58617165485468</v>
      </c>
      <c r="N85" s="24" t="n">
        <f aca="false">(C85-'Raw Data'!D93)/'Raw Data'!D93</f>
        <v>0.0495327102803738</v>
      </c>
      <c r="O85" s="24" t="n">
        <f aca="false">I85/H85</f>
        <v>0.129655172413793</v>
      </c>
      <c r="P85" s="23" t="n">
        <f aca="false">'Raw Data'!L94</f>
        <v>17.44</v>
      </c>
    </row>
    <row r="86" customFormat="false" ht="15" hidden="false" customHeight="false" outlineLevel="0" collapsed="false">
      <c r="A86" s="12" t="s">
        <v>48</v>
      </c>
      <c r="B86" s="12" t="s">
        <v>78</v>
      </c>
      <c r="C86" s="22" t="n">
        <f aca="false">'Raw Data'!D95</f>
        <v>915</v>
      </c>
      <c r="D86" s="22" t="n">
        <f aca="false">'Raw Data'!E95</f>
        <v>-31</v>
      </c>
      <c r="E86" s="22" t="n">
        <f aca="false">'Raw Data'!F95</f>
        <v>-46</v>
      </c>
      <c r="F86" s="22" t="n">
        <f aca="false">'Raw Data'!G95+'Raw Data'!H95</f>
        <v>165</v>
      </c>
      <c r="G86" s="22" t="n">
        <f aca="false">'Raw Data'!I95</f>
        <v>474</v>
      </c>
      <c r="H86" s="22" t="n">
        <f aca="false">'Raw Data'!J95</f>
        <v>794</v>
      </c>
      <c r="I86" s="22" t="n">
        <f aca="false">'Raw Data'!K95</f>
        <v>95</v>
      </c>
      <c r="J86" s="23" t="n">
        <f aca="false">G86/F86</f>
        <v>2.87272727272727</v>
      </c>
      <c r="K86" s="24" t="n">
        <f aca="false">E86/F86</f>
        <v>-0.278787878787879</v>
      </c>
      <c r="L86" s="24" t="n">
        <f aca="false">E86/H86</f>
        <v>-0.0579345088161209</v>
      </c>
      <c r="M86" s="25" t="n">
        <f aca="false">LN(H86)</f>
        <v>6.67708346124714</v>
      </c>
      <c r="N86" s="24" t="n">
        <f aca="false">(C86-'Raw Data'!D94)/'Raw Data'!D94</f>
        <v>-0.185218165627783</v>
      </c>
      <c r="O86" s="24" t="n">
        <f aca="false">I86/H86</f>
        <v>0.119647355163728</v>
      </c>
      <c r="P86" s="23" t="n">
        <f aca="false">'Raw Data'!L95</f>
        <v>-13.23</v>
      </c>
    </row>
    <row r="87" customFormat="false" ht="15" hidden="false" customHeight="false" outlineLevel="0" collapsed="false">
      <c r="A87" s="12" t="s">
        <v>48</v>
      </c>
      <c r="B87" s="12" t="s">
        <v>79</v>
      </c>
      <c r="C87" s="22" t="n">
        <f aca="false">'Raw Data'!D96</f>
        <v>1031</v>
      </c>
      <c r="D87" s="22" t="n">
        <f aca="false">'Raw Data'!E96</f>
        <v>-23</v>
      </c>
      <c r="E87" s="22" t="n">
        <f aca="false">'Raw Data'!F96</f>
        <v>-31</v>
      </c>
      <c r="F87" s="22" t="n">
        <f aca="false">'Raw Data'!G96+'Raw Data'!H96</f>
        <v>130</v>
      </c>
      <c r="G87" s="22" t="n">
        <f aca="false">'Raw Data'!I96</f>
        <v>472</v>
      </c>
      <c r="H87" s="22" t="n">
        <f aca="false">'Raw Data'!J96</f>
        <v>794</v>
      </c>
      <c r="I87" s="22" t="n">
        <f aca="false">'Raw Data'!K96</f>
        <v>95</v>
      </c>
      <c r="J87" s="23" t="n">
        <f aca="false">G87/F87</f>
        <v>3.63076923076923</v>
      </c>
      <c r="K87" s="24" t="n">
        <f aca="false">E87/F87</f>
        <v>-0.238461538461538</v>
      </c>
      <c r="L87" s="24" t="n">
        <f aca="false">E87/H87</f>
        <v>-0.0390428211586902</v>
      </c>
      <c r="M87" s="25" t="n">
        <f aca="false">LN(H87)</f>
        <v>6.67708346124714</v>
      </c>
      <c r="N87" s="24" t="n">
        <f aca="false">(C87-'Raw Data'!D95)/'Raw Data'!D95</f>
        <v>0.126775956284153</v>
      </c>
      <c r="O87" s="24" t="n">
        <f aca="false">I87/H87</f>
        <v>0.119647355163728</v>
      </c>
      <c r="P87" s="23" t="n">
        <f aca="false">'Raw Data'!L96</f>
        <v>-8.83</v>
      </c>
    </row>
    <row r="88" customFormat="false" ht="15" hidden="false" customHeight="false" outlineLevel="0" collapsed="false">
      <c r="A88" s="12" t="s">
        <v>48</v>
      </c>
      <c r="B88" s="12" t="s">
        <v>80</v>
      </c>
      <c r="C88" s="22" t="n">
        <f aca="false">'Raw Data'!D97</f>
        <v>1173</v>
      </c>
      <c r="D88" s="22" t="n">
        <f aca="false">'Raw Data'!E97</f>
        <v>62</v>
      </c>
      <c r="E88" s="22" t="n">
        <f aca="false">'Raw Data'!F97</f>
        <v>26</v>
      </c>
      <c r="F88" s="22" t="n">
        <f aca="false">'Raw Data'!G97+'Raw Data'!H97</f>
        <v>239</v>
      </c>
      <c r="G88" s="22" t="n">
        <f aca="false">'Raw Data'!I97</f>
        <v>381</v>
      </c>
      <c r="H88" s="22" t="n">
        <f aca="false">'Raw Data'!J97</f>
        <v>823</v>
      </c>
      <c r="I88" s="22" t="n">
        <f aca="false">'Raw Data'!K97</f>
        <v>108</v>
      </c>
      <c r="J88" s="23" t="n">
        <f aca="false">G88/F88</f>
        <v>1.59414225941423</v>
      </c>
      <c r="K88" s="24" t="n">
        <f aca="false">E88/F88</f>
        <v>0.108786610878661</v>
      </c>
      <c r="L88" s="24" t="n">
        <f aca="false">E88/H88</f>
        <v>0.031591737545565</v>
      </c>
      <c r="M88" s="25" t="n">
        <f aca="false">LN(H88)</f>
        <v>6.71295620067707</v>
      </c>
      <c r="N88" s="24" t="n">
        <f aca="false">(C88-'Raw Data'!D96)/'Raw Data'!D96</f>
        <v>0.137730358874879</v>
      </c>
      <c r="O88" s="24" t="n">
        <f aca="false">I88/H88</f>
        <v>0.131227217496962</v>
      </c>
      <c r="P88" s="23" t="n">
        <f aca="false">'Raw Data'!L97</f>
        <v>5.99</v>
      </c>
    </row>
    <row r="89" customFormat="false" ht="15" hidden="false" customHeight="false" outlineLevel="0" collapsed="false">
      <c r="A89" s="12" t="s">
        <v>48</v>
      </c>
      <c r="B89" s="12" t="s">
        <v>81</v>
      </c>
      <c r="C89" s="22" t="n">
        <f aca="false">'Raw Data'!D98</f>
        <v>1368</v>
      </c>
      <c r="D89" s="22" t="n">
        <f aca="false">'Raw Data'!E98</f>
        <v>87</v>
      </c>
      <c r="E89" s="22" t="n">
        <f aca="false">'Raw Data'!F98</f>
        <v>32</v>
      </c>
      <c r="F89" s="22" t="n">
        <f aca="false">'Raw Data'!G98+'Raw Data'!H98</f>
        <v>228</v>
      </c>
      <c r="G89" s="22" t="n">
        <f aca="false">'Raw Data'!I98</f>
        <v>440</v>
      </c>
      <c r="H89" s="22" t="n">
        <f aca="false">'Raw Data'!J98</f>
        <v>939</v>
      </c>
      <c r="I89" s="22" t="n">
        <f aca="false">'Raw Data'!K98</f>
        <v>172</v>
      </c>
      <c r="J89" s="23" t="n">
        <f aca="false">G89/F89</f>
        <v>1.92982456140351</v>
      </c>
      <c r="K89" s="24" t="n">
        <f aca="false">E89/F89</f>
        <v>0.140350877192982</v>
      </c>
      <c r="L89" s="24" t="n">
        <f aca="false">E89/H89</f>
        <v>0.0340788072417465</v>
      </c>
      <c r="M89" s="25" t="n">
        <f aca="false">LN(H89)</f>
        <v>6.84481547920826</v>
      </c>
      <c r="N89" s="24" t="n">
        <f aca="false">(C89-'Raw Data'!D97)/'Raw Data'!D97</f>
        <v>0.166240409207161</v>
      </c>
      <c r="O89" s="24" t="n">
        <f aca="false">I89/H89</f>
        <v>0.183173588924388</v>
      </c>
      <c r="P89" s="23" t="n">
        <f aca="false">'Raw Data'!L98</f>
        <v>7.56</v>
      </c>
    </row>
    <row r="90" customFormat="false" ht="15" hidden="false" customHeight="false" outlineLevel="0" collapsed="false">
      <c r="A90" s="12" t="s">
        <v>48</v>
      </c>
      <c r="B90" s="12" t="s">
        <v>82</v>
      </c>
      <c r="C90" s="22" t="n">
        <f aca="false">'Raw Data'!D99</f>
        <v>1209</v>
      </c>
      <c r="D90" s="22" t="n">
        <f aca="false">'Raw Data'!E99</f>
        <v>101</v>
      </c>
      <c r="E90" s="22" t="n">
        <f aca="false">'Raw Data'!F99</f>
        <v>26</v>
      </c>
      <c r="F90" s="22" t="n">
        <f aca="false">'Raw Data'!G99+'Raw Data'!H99</f>
        <v>291</v>
      </c>
      <c r="G90" s="22" t="n">
        <f aca="false">'Raw Data'!I99</f>
        <v>476</v>
      </c>
      <c r="H90" s="22" t="n">
        <f aca="false">'Raw Data'!J99</f>
        <v>1005</v>
      </c>
      <c r="I90" s="22" t="n">
        <f aca="false">'Raw Data'!K99</f>
        <v>235</v>
      </c>
      <c r="J90" s="23" t="n">
        <f aca="false">G90/F90</f>
        <v>1.63573883161512</v>
      </c>
      <c r="K90" s="24" t="n">
        <f aca="false">E90/F90</f>
        <v>0.0893470790378007</v>
      </c>
      <c r="L90" s="24" t="n">
        <f aca="false">E90/H90</f>
        <v>0.0258706467661692</v>
      </c>
      <c r="M90" s="25" t="n">
        <f aca="false">LN(H90)</f>
        <v>6.91274282049318</v>
      </c>
      <c r="N90" s="24" t="n">
        <f aca="false">(C90-'Raw Data'!D98)/'Raw Data'!D98</f>
        <v>-0.116228070175439</v>
      </c>
      <c r="O90" s="24" t="n">
        <f aca="false">I90/H90</f>
        <v>0.233830845771144</v>
      </c>
      <c r="P90" s="23" t="n">
        <f aca="false">'Raw Data'!L99</f>
        <v>6.12</v>
      </c>
    </row>
    <row r="91" customFormat="false" ht="15" hidden="false" customHeight="false" outlineLevel="0" collapsed="false">
      <c r="A91" s="12" t="s">
        <v>48</v>
      </c>
      <c r="B91" s="12" t="s">
        <v>83</v>
      </c>
      <c r="C91" s="22" t="n">
        <f aca="false">'Raw Data'!D100</f>
        <v>1789</v>
      </c>
      <c r="D91" s="22" t="n">
        <f aca="false">'Raw Data'!E100</f>
        <v>204</v>
      </c>
      <c r="E91" s="22" t="n">
        <f aca="false">'Raw Data'!F100</f>
        <v>117</v>
      </c>
      <c r="F91" s="22" t="n">
        <f aca="false">'Raw Data'!G100+'Raw Data'!H100</f>
        <v>709</v>
      </c>
      <c r="G91" s="22" t="n">
        <f aca="false">'Raw Data'!I100</f>
        <v>191</v>
      </c>
      <c r="H91" s="22" t="n">
        <f aca="false">'Raw Data'!J100</f>
        <v>1226</v>
      </c>
      <c r="I91" s="22" t="n">
        <f aca="false">'Raw Data'!K100</f>
        <v>282</v>
      </c>
      <c r="J91" s="23" t="n">
        <f aca="false">G91/F91</f>
        <v>0.269393511988717</v>
      </c>
      <c r="K91" s="24" t="n">
        <f aca="false">E91/F91</f>
        <v>0.165021156558533</v>
      </c>
      <c r="L91" s="24" t="n">
        <f aca="false">E91/H91</f>
        <v>0.0954323001631321</v>
      </c>
      <c r="M91" s="25" t="n">
        <f aca="false">LN(H91)</f>
        <v>7.11151211649616</v>
      </c>
      <c r="N91" s="24" t="n">
        <f aca="false">(C91-'Raw Data'!D99)/'Raw Data'!D99</f>
        <v>0.479735318444996</v>
      </c>
      <c r="O91" s="24" t="n">
        <f aca="false">I91/H91</f>
        <v>0.230016313213703</v>
      </c>
      <c r="P91" s="23" t="n">
        <f aca="false">'Raw Data'!L100</f>
        <v>19.79</v>
      </c>
    </row>
    <row r="92" customFormat="false" ht="15" hidden="false" customHeight="false" outlineLevel="0" collapsed="false">
      <c r="A92" s="12" t="s">
        <v>48</v>
      </c>
      <c r="B92" s="12" t="s">
        <v>84</v>
      </c>
      <c r="C92" s="22" t="n">
        <f aca="false">'Raw Data'!D101</f>
        <v>2221</v>
      </c>
      <c r="D92" s="22" t="n">
        <f aca="false">'Raw Data'!E101</f>
        <v>269</v>
      </c>
      <c r="E92" s="22" t="n">
        <f aca="false">'Raw Data'!F101</f>
        <v>178</v>
      </c>
      <c r="F92" s="22" t="n">
        <f aca="false">'Raw Data'!G101+'Raw Data'!H101</f>
        <v>893</v>
      </c>
      <c r="G92" s="22" t="n">
        <f aca="false">'Raw Data'!I101</f>
        <v>141</v>
      </c>
      <c r="H92" s="22" t="n">
        <f aca="false">'Raw Data'!J101</f>
        <v>1343</v>
      </c>
      <c r="I92" s="22" t="n">
        <f aca="false">'Raw Data'!K101</f>
        <v>261</v>
      </c>
      <c r="J92" s="23" t="n">
        <f aca="false">G92/F92</f>
        <v>0.157894736842105</v>
      </c>
      <c r="K92" s="24" t="n">
        <f aca="false">E92/F92</f>
        <v>0.1993281075028</v>
      </c>
      <c r="L92" s="24" t="n">
        <f aca="false">E92/H92</f>
        <v>0.132539091586002</v>
      </c>
      <c r="M92" s="25" t="n">
        <f aca="false">LN(H92)</f>
        <v>7.20266119652324</v>
      </c>
      <c r="N92" s="24" t="n">
        <f aca="false">(C92-'Raw Data'!D100)/'Raw Data'!D100</f>
        <v>0.241475684740078</v>
      </c>
      <c r="O92" s="24" t="n">
        <f aca="false">I92/H92</f>
        <v>0.194341027550261</v>
      </c>
      <c r="P92" s="23" t="n">
        <f aca="false">'Raw Data'!L101</f>
        <v>29.45</v>
      </c>
    </row>
    <row r="93" customFormat="false" ht="15" hidden="false" customHeight="false" outlineLevel="0" collapsed="false">
      <c r="A93" s="12" t="s">
        <v>48</v>
      </c>
      <c r="B93" s="12" t="s">
        <v>85</v>
      </c>
      <c r="C93" s="22" t="n">
        <f aca="false">'Raw Data'!D102</f>
        <v>2139</v>
      </c>
      <c r="D93" s="22" t="n">
        <f aca="false">'Raw Data'!E102</f>
        <v>255</v>
      </c>
      <c r="E93" s="22" t="n">
        <f aca="false">'Raw Data'!F102</f>
        <v>164</v>
      </c>
      <c r="F93" s="22" t="n">
        <f aca="false">'Raw Data'!G102+'Raw Data'!H102</f>
        <v>1342</v>
      </c>
      <c r="G93" s="22" t="n">
        <f aca="false">'Raw Data'!I102</f>
        <v>254</v>
      </c>
      <c r="H93" s="22" t="n">
        <f aca="false">'Raw Data'!J102</f>
        <v>1955</v>
      </c>
      <c r="I93" s="22" t="n">
        <f aca="false">'Raw Data'!K102</f>
        <v>254</v>
      </c>
      <c r="J93" s="23" t="n">
        <f aca="false">G93/F93</f>
        <v>0.189269746646796</v>
      </c>
      <c r="K93" s="24" t="n">
        <f aca="false">E93/F93</f>
        <v>0.12220566318927</v>
      </c>
      <c r="L93" s="24" t="n">
        <f aca="false">E93/H93</f>
        <v>0.0838874680306905</v>
      </c>
      <c r="M93" s="25" t="n">
        <f aca="false">LN(H93)</f>
        <v>7.57814547241947</v>
      </c>
      <c r="N93" s="24" t="n">
        <f aca="false">(C93-'Raw Data'!D101)/'Raw Data'!D101</f>
        <v>-0.0369203061683926</v>
      </c>
      <c r="O93" s="24" t="n">
        <f aca="false">I93/H93</f>
        <v>0.129923273657289</v>
      </c>
      <c r="P93" s="23" t="n">
        <f aca="false">'Raw Data'!L102</f>
        <v>25.9</v>
      </c>
    </row>
    <row r="94" customFormat="false" ht="15" hidden="false" customHeight="false" outlineLevel="0" collapsed="false">
      <c r="A94" s="12" t="s">
        <v>48</v>
      </c>
      <c r="B94" s="12" t="s">
        <v>86</v>
      </c>
      <c r="C94" s="22" t="n">
        <f aca="false">'Raw Data'!D103</f>
        <v>2477</v>
      </c>
      <c r="D94" s="22" t="n">
        <f aca="false">'Raw Data'!E103</f>
        <v>244</v>
      </c>
      <c r="E94" s="22" t="n">
        <f aca="false">'Raw Data'!F103</f>
        <v>191</v>
      </c>
      <c r="F94" s="22" t="n">
        <f aca="false">'Raw Data'!G103+'Raw Data'!H103</f>
        <v>2145</v>
      </c>
      <c r="G94" s="22" t="n">
        <f aca="false">'Raw Data'!I103</f>
        <v>192</v>
      </c>
      <c r="H94" s="22" t="n">
        <f aca="false">'Raw Data'!J103</f>
        <v>2763</v>
      </c>
      <c r="I94" s="22" t="n">
        <f aca="false">'Raw Data'!K103</f>
        <v>272</v>
      </c>
      <c r="J94" s="23" t="n">
        <f aca="false">G94/F94</f>
        <v>0.0895104895104895</v>
      </c>
      <c r="K94" s="24" t="n">
        <f aca="false">E94/F94</f>
        <v>0.089044289044289</v>
      </c>
      <c r="L94" s="24" t="n">
        <f aca="false">E94/H94</f>
        <v>0.0691277596815056</v>
      </c>
      <c r="M94" s="25" t="n">
        <f aca="false">LN(H94)</f>
        <v>7.92407232492342</v>
      </c>
      <c r="N94" s="24" t="n">
        <f aca="false">(C94-'Raw Data'!D102)/'Raw Data'!D102</f>
        <v>0.158017765310893</v>
      </c>
      <c r="O94" s="24" t="n">
        <f aca="false">I94/H94</f>
        <v>0.0984437205935577</v>
      </c>
      <c r="P94" s="23" t="n">
        <f aca="false">'Raw Data'!L103</f>
        <v>26.77</v>
      </c>
    </row>
    <row r="95" customFormat="false" ht="15" hidden="false" customHeight="false" outlineLevel="0" collapsed="false">
      <c r="A95" s="15" t="s">
        <v>49</v>
      </c>
      <c r="B95" s="15" t="s">
        <v>77</v>
      </c>
      <c r="C95" s="26" t="n">
        <f aca="false">'Raw Data'!D105</f>
        <v>1609</v>
      </c>
      <c r="D95" s="26" t="n">
        <f aca="false">'Raw Data'!E105</f>
        <v>196</v>
      </c>
      <c r="E95" s="26" t="n">
        <f aca="false">'Raw Data'!F105</f>
        <v>84</v>
      </c>
      <c r="F95" s="26" t="n">
        <f aca="false">'Raw Data'!G105+'Raw Data'!H105</f>
        <v>506</v>
      </c>
      <c r="G95" s="26" t="n">
        <f aca="false">'Raw Data'!I105</f>
        <v>408</v>
      </c>
      <c r="H95" s="26" t="n">
        <f aca="false">'Raw Data'!J105</f>
        <v>1195</v>
      </c>
      <c r="I95" s="26" t="n">
        <f aca="false">'Raw Data'!K105</f>
        <v>403</v>
      </c>
      <c r="J95" s="27" t="n">
        <f aca="false">G95/F95</f>
        <v>0.806324110671937</v>
      </c>
      <c r="K95" s="28" t="n">
        <f aca="false">E95/F95</f>
        <v>0.16600790513834</v>
      </c>
      <c r="L95" s="28" t="n">
        <f aca="false">E95/H95</f>
        <v>0.0702928870292887</v>
      </c>
      <c r="M95" s="29" t="n">
        <f aca="false">LN(H95)</f>
        <v>7.08590146436561</v>
      </c>
      <c r="N95" s="28" t="n">
        <f aca="false">(C95-'Raw Data'!D104)/'Raw Data'!D104</f>
        <v>0.0755347593582888</v>
      </c>
      <c r="O95" s="28" t="n">
        <f aca="false">I95/H95</f>
        <v>0.337238493723849</v>
      </c>
      <c r="P95" s="27" t="n">
        <f aca="false">'Raw Data'!L105</f>
        <v>17.93</v>
      </c>
    </row>
    <row r="96" customFormat="false" ht="15" hidden="false" customHeight="false" outlineLevel="0" collapsed="false">
      <c r="A96" s="15" t="s">
        <v>49</v>
      </c>
      <c r="B96" s="15" t="s">
        <v>78</v>
      </c>
      <c r="C96" s="26" t="n">
        <f aca="false">'Raw Data'!D106</f>
        <v>1570</v>
      </c>
      <c r="D96" s="26" t="n">
        <f aca="false">'Raw Data'!E106</f>
        <v>197</v>
      </c>
      <c r="E96" s="26" t="n">
        <f aca="false">'Raw Data'!F106</f>
        <v>91</v>
      </c>
      <c r="F96" s="26" t="n">
        <f aca="false">'Raw Data'!G106+'Raw Data'!H106</f>
        <v>596</v>
      </c>
      <c r="G96" s="26" t="n">
        <f aca="false">'Raw Data'!I106</f>
        <v>305</v>
      </c>
      <c r="H96" s="26" t="n">
        <f aca="false">'Raw Data'!J106</f>
        <v>1159</v>
      </c>
      <c r="I96" s="26" t="n">
        <f aca="false">'Raw Data'!K106</f>
        <v>445</v>
      </c>
      <c r="J96" s="27" t="n">
        <f aca="false">G96/F96</f>
        <v>0.511744966442953</v>
      </c>
      <c r="K96" s="28" t="n">
        <f aca="false">E96/F96</f>
        <v>0.152684563758389</v>
      </c>
      <c r="L96" s="28" t="n">
        <f aca="false">E96/H96</f>
        <v>0.0785159620362381</v>
      </c>
      <c r="M96" s="29" t="n">
        <f aca="false">LN(H96)</f>
        <v>7.05531284333975</v>
      </c>
      <c r="N96" s="28" t="n">
        <f aca="false">(C96-'Raw Data'!D105)/'Raw Data'!D105</f>
        <v>-0.0242386575512741</v>
      </c>
      <c r="O96" s="28" t="n">
        <f aca="false">I96/H96</f>
        <v>0.383951682484901</v>
      </c>
      <c r="P96" s="27" t="n">
        <f aca="false">'Raw Data'!L106</f>
        <v>19.41</v>
      </c>
    </row>
    <row r="97" customFormat="false" ht="15" hidden="false" customHeight="false" outlineLevel="0" collapsed="false">
      <c r="A97" s="15" t="s">
        <v>49</v>
      </c>
      <c r="B97" s="15" t="s">
        <v>79</v>
      </c>
      <c r="C97" s="26" t="n">
        <f aca="false">'Raw Data'!D107</f>
        <v>1733</v>
      </c>
      <c r="D97" s="26" t="n">
        <f aca="false">'Raw Data'!E107</f>
        <v>246</v>
      </c>
      <c r="E97" s="26" t="n">
        <f aca="false">'Raw Data'!F107</f>
        <v>112</v>
      </c>
      <c r="F97" s="26" t="n">
        <f aca="false">'Raw Data'!G107+'Raw Data'!H107</f>
        <v>678</v>
      </c>
      <c r="G97" s="26" t="n">
        <f aca="false">'Raw Data'!I107</f>
        <v>573</v>
      </c>
      <c r="H97" s="26" t="n">
        <f aca="false">'Raw Data'!J107</f>
        <v>1553</v>
      </c>
      <c r="I97" s="26" t="n">
        <f aca="false">'Raw Data'!K107</f>
        <v>532</v>
      </c>
      <c r="J97" s="27" t="n">
        <f aca="false">G97/F97</f>
        <v>0.845132743362832</v>
      </c>
      <c r="K97" s="28" t="n">
        <f aca="false">E97/F97</f>
        <v>0.165191740412979</v>
      </c>
      <c r="L97" s="28" t="n">
        <f aca="false">E97/H97</f>
        <v>0.0721184803605924</v>
      </c>
      <c r="M97" s="29" t="n">
        <f aca="false">LN(H97)</f>
        <v>7.34794382314869</v>
      </c>
      <c r="N97" s="28" t="n">
        <f aca="false">(C97-'Raw Data'!D106)/'Raw Data'!D106</f>
        <v>0.103821656050955</v>
      </c>
      <c r="O97" s="28" t="n">
        <f aca="false">I97/H97</f>
        <v>0.342562781712814</v>
      </c>
      <c r="P97" s="27" t="n">
        <f aca="false">'Raw Data'!L107</f>
        <v>23.81</v>
      </c>
    </row>
    <row r="98" customFormat="false" ht="15" hidden="false" customHeight="false" outlineLevel="0" collapsed="false">
      <c r="A98" s="15" t="s">
        <v>49</v>
      </c>
      <c r="B98" s="15" t="s">
        <v>80</v>
      </c>
      <c r="C98" s="26" t="n">
        <f aca="false">'Raw Data'!D108</f>
        <v>1815</v>
      </c>
      <c r="D98" s="26" t="n">
        <f aca="false">'Raw Data'!E108</f>
        <v>241</v>
      </c>
      <c r="E98" s="26" t="n">
        <f aca="false">'Raw Data'!F108</f>
        <v>101</v>
      </c>
      <c r="F98" s="26" t="n">
        <f aca="false">'Raw Data'!G108+'Raw Data'!H108</f>
        <v>757</v>
      </c>
      <c r="G98" s="26" t="n">
        <f aca="false">'Raw Data'!I108</f>
        <v>444</v>
      </c>
      <c r="H98" s="26" t="n">
        <f aca="false">'Raw Data'!J108</f>
        <v>1505</v>
      </c>
      <c r="I98" s="26" t="n">
        <f aca="false">'Raw Data'!K108</f>
        <v>527</v>
      </c>
      <c r="J98" s="27" t="n">
        <f aca="false">G98/F98</f>
        <v>0.586525759577279</v>
      </c>
      <c r="K98" s="28" t="n">
        <f aca="false">E98/F98</f>
        <v>0.133421400264201</v>
      </c>
      <c r="L98" s="28" t="n">
        <f aca="false">E98/H98</f>
        <v>0.067109634551495</v>
      </c>
      <c r="M98" s="29" t="n">
        <f aca="false">LN(H98)</f>
        <v>7.31654817718298</v>
      </c>
      <c r="N98" s="28" t="n">
        <f aca="false">(C98-'Raw Data'!D107)/'Raw Data'!D107</f>
        <v>0.0473167916907098</v>
      </c>
      <c r="O98" s="28" t="n">
        <f aca="false">I98/H98</f>
        <v>0.350166112956811</v>
      </c>
      <c r="P98" s="27" t="n">
        <f aca="false">'Raw Data'!L108</f>
        <v>21.58</v>
      </c>
    </row>
    <row r="99" customFormat="false" ht="15" hidden="false" customHeight="false" outlineLevel="0" collapsed="false">
      <c r="A99" s="15" t="s">
        <v>49</v>
      </c>
      <c r="B99" s="15" t="s">
        <v>81</v>
      </c>
      <c r="C99" s="26" t="n">
        <f aca="false">'Raw Data'!D109</f>
        <v>1698</v>
      </c>
      <c r="D99" s="26" t="n">
        <f aca="false">'Raw Data'!E109</f>
        <v>169</v>
      </c>
      <c r="E99" s="26" t="n">
        <f aca="false">'Raw Data'!F109</f>
        <v>72</v>
      </c>
      <c r="F99" s="26" t="n">
        <f aca="false">'Raw Data'!G109+'Raw Data'!H109</f>
        <v>767</v>
      </c>
      <c r="G99" s="26" t="n">
        <f aca="false">'Raw Data'!I109</f>
        <v>428</v>
      </c>
      <c r="H99" s="26" t="n">
        <f aca="false">'Raw Data'!J109</f>
        <v>1503</v>
      </c>
      <c r="I99" s="26" t="n">
        <f aca="false">'Raw Data'!K109</f>
        <v>552</v>
      </c>
      <c r="J99" s="27" t="n">
        <f aca="false">G99/F99</f>
        <v>0.558018252933507</v>
      </c>
      <c r="K99" s="28" t="n">
        <f aca="false">E99/F99</f>
        <v>0.0938722294654498</v>
      </c>
      <c r="L99" s="28" t="n">
        <f aca="false">E99/H99</f>
        <v>0.0479041916167665</v>
      </c>
      <c r="M99" s="29" t="n">
        <f aca="false">LN(H99)</f>
        <v>7.31521838975298</v>
      </c>
      <c r="N99" s="28" t="n">
        <f aca="false">(C99-'Raw Data'!D108)/'Raw Data'!D108</f>
        <v>-0.0644628099173554</v>
      </c>
      <c r="O99" s="28" t="n">
        <f aca="false">I99/H99</f>
        <v>0.367265469061876</v>
      </c>
      <c r="P99" s="27" t="n">
        <f aca="false">'Raw Data'!L109</f>
        <v>15.3</v>
      </c>
    </row>
    <row r="100" customFormat="false" ht="15" hidden="false" customHeight="false" outlineLevel="0" collapsed="false">
      <c r="A100" s="15" t="s">
        <v>49</v>
      </c>
      <c r="B100" s="15" t="s">
        <v>82</v>
      </c>
      <c r="C100" s="26" t="n">
        <f aca="false">'Raw Data'!D110</f>
        <v>1088</v>
      </c>
      <c r="D100" s="26" t="n">
        <f aca="false">'Raw Data'!E110</f>
        <v>55</v>
      </c>
      <c r="E100" s="26" t="n">
        <f aca="false">'Raw Data'!F110</f>
        <v>5</v>
      </c>
      <c r="F100" s="26" t="n">
        <f aca="false">'Raw Data'!G110+'Raw Data'!H110</f>
        <v>774</v>
      </c>
      <c r="G100" s="26" t="n">
        <f aca="false">'Raw Data'!I110</f>
        <v>139</v>
      </c>
      <c r="H100" s="26" t="n">
        <f aca="false">'Raw Data'!J110</f>
        <v>1217</v>
      </c>
      <c r="I100" s="26" t="n">
        <f aca="false">'Raw Data'!K110</f>
        <v>490</v>
      </c>
      <c r="J100" s="27" t="n">
        <f aca="false">G100/F100</f>
        <v>0.179586563307494</v>
      </c>
      <c r="K100" s="28" t="n">
        <f aca="false">E100/F100</f>
        <v>0.00645994832041344</v>
      </c>
      <c r="L100" s="28" t="n">
        <f aca="false">E100/H100</f>
        <v>0.00410846343467543</v>
      </c>
      <c r="M100" s="29" t="n">
        <f aca="false">LN(H100)</f>
        <v>7.10414409298753</v>
      </c>
      <c r="N100" s="28" t="n">
        <f aca="false">(C100-'Raw Data'!D109)/'Raw Data'!D109</f>
        <v>-0.35924617196702</v>
      </c>
      <c r="O100" s="28" t="n">
        <f aca="false">I100/H100</f>
        <v>0.402629416598192</v>
      </c>
      <c r="P100" s="27" t="n">
        <f aca="false">'Raw Data'!L110</f>
        <v>1.14</v>
      </c>
    </row>
    <row r="101" customFormat="false" ht="15" hidden="false" customHeight="false" outlineLevel="0" collapsed="false">
      <c r="A101" s="15" t="s">
        <v>49</v>
      </c>
      <c r="B101" s="15" t="s">
        <v>83</v>
      </c>
      <c r="C101" s="26" t="n">
        <f aca="false">'Raw Data'!D111</f>
        <v>1903</v>
      </c>
      <c r="D101" s="26" t="n">
        <f aca="false">'Raw Data'!E111</f>
        <v>334</v>
      </c>
      <c r="E101" s="26" t="n">
        <f aca="false">'Raw Data'!F111</f>
        <v>213</v>
      </c>
      <c r="F101" s="26" t="n">
        <f aca="false">'Raw Data'!G111+'Raw Data'!H111</f>
        <v>937</v>
      </c>
      <c r="G101" s="26" t="n">
        <f aca="false">'Raw Data'!I111</f>
        <v>223</v>
      </c>
      <c r="H101" s="26" t="n">
        <f aca="false">'Raw Data'!J111</f>
        <v>1515</v>
      </c>
      <c r="I101" s="26" t="n">
        <f aca="false">'Raw Data'!K111</f>
        <v>500</v>
      </c>
      <c r="J101" s="27" t="n">
        <f aca="false">G101/F101</f>
        <v>0.237993596584845</v>
      </c>
      <c r="K101" s="28" t="n">
        <f aca="false">E101/F101</f>
        <v>0.227321237993597</v>
      </c>
      <c r="L101" s="28" t="n">
        <f aca="false">E101/H101</f>
        <v>0.140594059405941</v>
      </c>
      <c r="M101" s="29" t="n">
        <f aca="false">LN(H101)</f>
        <v>7.32317071794347</v>
      </c>
      <c r="N101" s="28" t="n">
        <f aca="false">(C101-'Raw Data'!D110)/'Raw Data'!D110</f>
        <v>0.749080882352941</v>
      </c>
      <c r="O101" s="28" t="n">
        <f aca="false">I101/H101</f>
        <v>0.33003300330033</v>
      </c>
      <c r="P101" s="27" t="n">
        <f aca="false">'Raw Data'!L111</f>
        <v>45.34</v>
      </c>
    </row>
    <row r="102" customFormat="false" ht="15" hidden="false" customHeight="false" outlineLevel="0" collapsed="false">
      <c r="A102" s="15" t="s">
        <v>49</v>
      </c>
      <c r="B102" s="15" t="s">
        <v>84</v>
      </c>
      <c r="C102" s="26" t="n">
        <f aca="false">'Raw Data'!D112</f>
        <v>2229</v>
      </c>
      <c r="D102" s="26" t="n">
        <f aca="false">'Raw Data'!E112</f>
        <v>369</v>
      </c>
      <c r="E102" s="26" t="n">
        <f aca="false">'Raw Data'!F112</f>
        <v>252</v>
      </c>
      <c r="F102" s="26" t="n">
        <f aca="false">'Raw Data'!G112+'Raw Data'!H112</f>
        <v>1141</v>
      </c>
      <c r="G102" s="26" t="n">
        <f aca="false">'Raw Data'!I112</f>
        <v>163</v>
      </c>
      <c r="H102" s="26" t="n">
        <f aca="false">'Raw Data'!J112</f>
        <v>1640</v>
      </c>
      <c r="I102" s="26" t="n">
        <f aca="false">'Raw Data'!K112</f>
        <v>482</v>
      </c>
      <c r="J102" s="27" t="n">
        <f aca="false">G102/F102</f>
        <v>0.142857142857143</v>
      </c>
      <c r="K102" s="28" t="n">
        <f aca="false">E102/F102</f>
        <v>0.220858895705521</v>
      </c>
      <c r="L102" s="28" t="n">
        <f aca="false">E102/H102</f>
        <v>0.153658536585366</v>
      </c>
      <c r="M102" s="29" t="n">
        <f aca="false">LN(H102)</f>
        <v>7.40245152081824</v>
      </c>
      <c r="N102" s="28" t="n">
        <f aca="false">(C102-'Raw Data'!D111)/'Raw Data'!D111</f>
        <v>0.171308460325801</v>
      </c>
      <c r="O102" s="28" t="n">
        <f aca="false">I102/H102</f>
        <v>0.29390243902439</v>
      </c>
      <c r="P102" s="27" t="n">
        <f aca="false">'Raw Data'!L112</f>
        <v>53.73</v>
      </c>
    </row>
    <row r="103" customFormat="false" ht="15" hidden="false" customHeight="false" outlineLevel="0" collapsed="false">
      <c r="A103" s="15" t="s">
        <v>49</v>
      </c>
      <c r="B103" s="15" t="s">
        <v>85</v>
      </c>
      <c r="C103" s="26" t="n">
        <f aca="false">'Raw Data'!D113</f>
        <v>2087</v>
      </c>
      <c r="D103" s="26" t="n">
        <f aca="false">'Raw Data'!E113</f>
        <v>286</v>
      </c>
      <c r="E103" s="26" t="n">
        <f aca="false">'Raw Data'!F113</f>
        <v>185</v>
      </c>
      <c r="F103" s="26" t="n">
        <f aca="false">'Raw Data'!G113+'Raw Data'!H113</f>
        <v>1141</v>
      </c>
      <c r="G103" s="26" t="n">
        <f aca="false">'Raw Data'!I113</f>
        <v>175</v>
      </c>
      <c r="H103" s="26" t="n">
        <f aca="false">'Raw Data'!J113</f>
        <v>1606</v>
      </c>
      <c r="I103" s="26" t="n">
        <f aca="false">'Raw Data'!K113</f>
        <v>493</v>
      </c>
      <c r="J103" s="27" t="n">
        <f aca="false">G103/F103</f>
        <v>0.153374233128834</v>
      </c>
      <c r="K103" s="28" t="n">
        <f aca="false">E103/F103</f>
        <v>0.162138475021911</v>
      </c>
      <c r="L103" s="28" t="n">
        <f aca="false">E103/H103</f>
        <v>0.11519302615193</v>
      </c>
      <c r="M103" s="29" t="n">
        <f aca="false">LN(H103)</f>
        <v>7.38150189450671</v>
      </c>
      <c r="N103" s="28" t="n">
        <f aca="false">(C103-'Raw Data'!D112)/'Raw Data'!D112</f>
        <v>-0.0637056976222521</v>
      </c>
      <c r="O103" s="28" t="n">
        <f aca="false">I103/H103</f>
        <v>0.306973848069739</v>
      </c>
      <c r="P103" s="27" t="n">
        <f aca="false">'Raw Data'!L113</f>
        <v>40.7</v>
      </c>
    </row>
    <row r="104" customFormat="false" ht="15" hidden="false" customHeight="false" outlineLevel="0" collapsed="false">
      <c r="A104" s="15" t="s">
        <v>49</v>
      </c>
      <c r="B104" s="15" t="s">
        <v>86</v>
      </c>
      <c r="C104" s="26" t="n">
        <f aca="false">'Raw Data'!D114</f>
        <v>2220</v>
      </c>
      <c r="D104" s="26" t="n">
        <f aca="false">'Raw Data'!E114</f>
        <v>277</v>
      </c>
      <c r="E104" s="26" t="n">
        <f aca="false">'Raw Data'!F114</f>
        <v>199</v>
      </c>
      <c r="F104" s="26" t="n">
        <f aca="false">'Raw Data'!G114+'Raw Data'!H114</f>
        <v>1288</v>
      </c>
      <c r="G104" s="26" t="n">
        <f aca="false">'Raw Data'!I114</f>
        <v>262</v>
      </c>
      <c r="H104" s="26" t="n">
        <f aca="false">'Raw Data'!J114</f>
        <v>1893</v>
      </c>
      <c r="I104" s="26" t="n">
        <f aca="false">'Raw Data'!K114</f>
        <v>592</v>
      </c>
      <c r="J104" s="27" t="n">
        <f aca="false">G104/F104</f>
        <v>0.203416149068323</v>
      </c>
      <c r="K104" s="28" t="n">
        <f aca="false">E104/F104</f>
        <v>0.154503105590062</v>
      </c>
      <c r="L104" s="28" t="n">
        <f aca="false">E104/H104</f>
        <v>0.105124141574221</v>
      </c>
      <c r="M104" s="29" t="n">
        <f aca="false">LN(H104)</f>
        <v>7.54591815120932</v>
      </c>
      <c r="N104" s="28" t="n">
        <f aca="false">(C104-'Raw Data'!D113)/'Raw Data'!D113</f>
        <v>0.0637278390033541</v>
      </c>
      <c r="O104" s="28" t="n">
        <f aca="false">I104/H104</f>
        <v>0.312731114632858</v>
      </c>
      <c r="P104" s="27" t="n">
        <f aca="false">'Raw Data'!L114</f>
        <v>43.8</v>
      </c>
    </row>
  </sheetData>
  <mergeCells count="2">
    <mergeCell ref="A1:P1"/>
    <mergeCell ref="A2:P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L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
    <col collapsed="false" customWidth="true" hidden="false" outlineLevel="0" max="7" min="3" style="0" width="10"/>
    <col collapsed="false" customWidth="true" hidden="false" outlineLevel="0" max="8" min="8" style="0" width="13"/>
    <col collapsed="false" customWidth="true" hidden="false" outlineLevel="0" max="10" min="9" style="0" width="15"/>
    <col collapsed="false" customWidth="true" hidden="false" outlineLevel="0" max="11" min="11" style="0" width="14"/>
  </cols>
  <sheetData>
    <row r="1" customFormat="false" ht="17.35" hidden="false" customHeight="false" outlineLevel="0" collapsed="false">
      <c r="A1" s="9" t="s">
        <v>150</v>
      </c>
      <c r="B1" s="9"/>
      <c r="C1" s="9"/>
      <c r="D1" s="9"/>
      <c r="E1" s="9"/>
      <c r="F1" s="9"/>
      <c r="G1" s="9"/>
      <c r="H1" s="9"/>
      <c r="I1" s="9"/>
      <c r="J1" s="9"/>
      <c r="K1" s="9"/>
      <c r="L1" s="9"/>
    </row>
    <row r="3" customFormat="false" ht="23.85" hidden="false" customHeight="false" outlineLevel="0" collapsed="false">
      <c r="A3" s="11" t="s">
        <v>27</v>
      </c>
      <c r="B3" s="11" t="s">
        <v>151</v>
      </c>
      <c r="C3" s="11" t="s">
        <v>152</v>
      </c>
      <c r="D3" s="11" t="s">
        <v>153</v>
      </c>
      <c r="E3" s="11" t="s">
        <v>154</v>
      </c>
      <c r="F3" s="11" t="s">
        <v>155</v>
      </c>
      <c r="G3" s="11" t="s">
        <v>156</v>
      </c>
      <c r="H3" s="11" t="s">
        <v>157</v>
      </c>
      <c r="I3" s="11" t="s">
        <v>158</v>
      </c>
      <c r="J3" s="11" t="s">
        <v>159</v>
      </c>
      <c r="K3" s="11" t="s">
        <v>160</v>
      </c>
    </row>
    <row r="4" customFormat="false" ht="15" hidden="false" customHeight="false" outlineLevel="0" collapsed="false">
      <c r="A4" s="12" t="s">
        <v>39</v>
      </c>
      <c r="B4" s="38" t="n">
        <f aca="false">AVERAGEIF('Ratios Panel'!$A$5:$A$104,A4,'Ratios Panel'!$J$5:$J$104)</f>
        <v>0.26862495720227</v>
      </c>
      <c r="C4" s="38" t="n">
        <f aca="false">SQRT(SUMPRODUCT(('Ratios Panel'!$A$5:$A$104=A4)*('Ratios Panel'!$J$5:$J$104-B4)^2)/(COUNTIF('Ratios Panel'!$A$5:$A$104,A4)-1))</f>
        <v>0.175714497578238</v>
      </c>
      <c r="D4" s="38" t="n">
        <f aca="false">_xlfn.MINIFS('Ratios Panel'!$J$5:$J$104,'Ratios Panel'!$A$5:$A$104,A4)</f>
        <v>0.0625</v>
      </c>
      <c r="E4" s="38" t="n">
        <f aca="false">_xlfn.MAXIFS('Ratios Panel'!$J$5:$J$104,'Ratios Panel'!$A$5:$A$104,A4)</f>
        <v>0.601427115188583</v>
      </c>
      <c r="F4" s="39" t="n">
        <f aca="false">AVERAGEIF('Ratios Panel'!$A$5:$A$104,A4,'Ratios Panel'!$K$5:$K$104)</f>
        <v>0.197993796117782</v>
      </c>
      <c r="G4" s="39" t="n">
        <f aca="false">AVERAGEIF('Ratios Panel'!$A$5:$A$104,A4,'Ratios Panel'!$L$5:$L$104)</f>
        <v>0.144014005897975</v>
      </c>
      <c r="H4" s="38" t="n">
        <f aca="false">AVERAGEIF('Ratios Panel'!$A$5:$A$104,A4,'Ratios Panel'!$P$5:$P$104)</f>
        <v>12.094</v>
      </c>
      <c r="I4" s="39" t="n">
        <f aca="false">AVERAGEIF('Ratios Panel'!$A$5:$A$104,A4,'Ratios Panel'!$N$5:$N$104)</f>
        <v>0.082229384533091</v>
      </c>
      <c r="J4" s="39" t="n">
        <f aca="false">AVERAGEIF('Ratios Panel'!$A$5:$A$104,A4,'Ratios Panel'!$O$5:$O$104)</f>
        <v>0.356656236099541</v>
      </c>
      <c r="K4" s="40" t="n">
        <f aca="false">AVERAGEIF('Ratios Panel'!$A$5:$A$104,A4,'Ratios Panel'!$M$5:$M$104)</f>
        <v>7.88520557444515</v>
      </c>
    </row>
    <row r="5" customFormat="false" ht="15" hidden="false" customHeight="false" outlineLevel="0" collapsed="false">
      <c r="A5" s="15" t="s">
        <v>41</v>
      </c>
      <c r="B5" s="41" t="n">
        <f aca="false">AVERAGEIF('Ratios Panel'!$A$5:$A$104,A5,'Ratios Panel'!$J$5:$J$104)</f>
        <v>0.780918419080599</v>
      </c>
      <c r="C5" s="41" t="n">
        <f aca="false">SQRT(SUMPRODUCT(('Ratios Panel'!$A$5:$A$104=A5)*('Ratios Panel'!$J$5:$J$104-B5)^2)/(COUNTIF('Ratios Panel'!$A$5:$A$104,A5)-1))</f>
        <v>0.373435859407386</v>
      </c>
      <c r="D5" s="41" t="n">
        <f aca="false">_xlfn.MINIFS('Ratios Panel'!$J$5:$J$104,'Ratios Panel'!$A$5:$A$104,A5)</f>
        <v>0.379280575539568</v>
      </c>
      <c r="E5" s="41" t="n">
        <f aca="false">_xlfn.MAXIFS('Ratios Panel'!$J$5:$J$104,'Ratios Panel'!$A$5:$A$104,A5)</f>
        <v>1.35123749341759</v>
      </c>
      <c r="F5" s="42" t="n">
        <f aca="false">AVERAGEIF('Ratios Panel'!$A$5:$A$104,A5,'Ratios Panel'!$K$5:$K$104)</f>
        <v>0.142806500961306</v>
      </c>
      <c r="G5" s="42" t="n">
        <f aca="false">AVERAGEIF('Ratios Panel'!$A$5:$A$104,A5,'Ratios Panel'!$L$5:$L$104)</f>
        <v>0.0632118651589881</v>
      </c>
      <c r="H5" s="41" t="n">
        <f aca="false">AVERAGEIF('Ratios Panel'!$A$5:$A$104,A5,'Ratios Panel'!$P$5:$P$104)</f>
        <v>4.044</v>
      </c>
      <c r="I5" s="42" t="n">
        <f aca="false">AVERAGEIF('Ratios Panel'!$A$5:$A$104,A5,'Ratios Panel'!$N$5:$N$104)</f>
        <v>0.0754402558679562</v>
      </c>
      <c r="J5" s="42" t="n">
        <f aca="false">AVERAGEIF('Ratios Panel'!$A$5:$A$104,A5,'Ratios Panel'!$O$5:$O$104)</f>
        <v>0.416139983035701</v>
      </c>
      <c r="K5" s="43" t="n">
        <f aca="false">AVERAGEIF('Ratios Panel'!$A$5:$A$104,A5,'Ratios Panel'!$M$5:$M$104)</f>
        <v>8.76767085459089</v>
      </c>
    </row>
    <row r="6" customFormat="false" ht="15" hidden="false" customHeight="false" outlineLevel="0" collapsed="false">
      <c r="A6" s="12" t="s">
        <v>42</v>
      </c>
      <c r="B6" s="38" t="n">
        <f aca="false">AVERAGEIF('Ratios Panel'!$A$5:$A$104,A6,'Ratios Panel'!$J$5:$J$104)</f>
        <v>0.456680519551259</v>
      </c>
      <c r="C6" s="38" t="n">
        <f aca="false">SQRT(SUMPRODUCT(('Ratios Panel'!$A$5:$A$104=A6)*('Ratios Panel'!$J$5:$J$104-B6)^2)/(COUNTIF('Ratios Panel'!$A$5:$A$104,A6)-1))</f>
        <v>0.133006808117797</v>
      </c>
      <c r="D6" s="38" t="n">
        <f aca="false">_xlfn.MINIFS('Ratios Panel'!$J$5:$J$104,'Ratios Panel'!$A$5:$A$104,A6)</f>
        <v>0.321875</v>
      </c>
      <c r="E6" s="38" t="n">
        <f aca="false">_xlfn.MAXIFS('Ratios Panel'!$J$5:$J$104,'Ratios Panel'!$A$5:$A$104,A6)</f>
        <v>0.770304568527919</v>
      </c>
      <c r="F6" s="39" t="n">
        <f aca="false">AVERAGEIF('Ratios Panel'!$A$5:$A$104,A6,'Ratios Panel'!$K$5:$K$104)</f>
        <v>0.175775522181753</v>
      </c>
      <c r="G6" s="39" t="n">
        <f aca="false">AVERAGEIF('Ratios Panel'!$A$5:$A$104,A6,'Ratios Panel'!$L$5:$L$104)</f>
        <v>0.0967096957198923</v>
      </c>
      <c r="H6" s="38" t="n">
        <f aca="false">AVERAGEIF('Ratios Panel'!$A$5:$A$104,A6,'Ratios Panel'!$P$5:$P$104)</f>
        <v>10.749</v>
      </c>
      <c r="I6" s="39" t="n">
        <f aca="false">AVERAGEIF('Ratios Panel'!$A$5:$A$104,A6,'Ratios Panel'!$N$5:$N$104)</f>
        <v>0.0952888078176109</v>
      </c>
      <c r="J6" s="39" t="n">
        <f aca="false">AVERAGEIF('Ratios Panel'!$A$5:$A$104,A6,'Ratios Panel'!$O$5:$O$104)</f>
        <v>0.336488017928929</v>
      </c>
      <c r="K6" s="40" t="n">
        <f aca="false">AVERAGEIF('Ratios Panel'!$A$5:$A$104,A6,'Ratios Panel'!$M$5:$M$104)</f>
        <v>7.67227268285164</v>
      </c>
    </row>
    <row r="7" customFormat="false" ht="15" hidden="false" customHeight="false" outlineLevel="0" collapsed="false">
      <c r="A7" s="15" t="s">
        <v>43</v>
      </c>
      <c r="B7" s="41" t="n">
        <f aca="false">AVERAGEIF('Ratios Panel'!$A$5:$A$104,A7,'Ratios Panel'!$J$5:$J$104)</f>
        <v>0.370714125134678</v>
      </c>
      <c r="C7" s="41" t="n">
        <f aca="false">SQRT(SUMPRODUCT(('Ratios Panel'!$A$5:$A$104=A7)*('Ratios Panel'!$J$5:$J$104-B7)^2)/(COUNTIF('Ratios Panel'!$A$5:$A$104,A7)-1))</f>
        <v>0.179111536751008</v>
      </c>
      <c r="D7" s="41" t="n">
        <f aca="false">_xlfn.MINIFS('Ratios Panel'!$J$5:$J$104,'Ratios Panel'!$A$5:$A$104,A7)</f>
        <v>0.129254541657966</v>
      </c>
      <c r="E7" s="41" t="n">
        <f aca="false">_xlfn.MAXIFS('Ratios Panel'!$J$5:$J$104,'Ratios Panel'!$A$5:$A$104,A7)</f>
        <v>0.703523035230352</v>
      </c>
      <c r="F7" s="42" t="n">
        <f aca="false">AVERAGEIF('Ratios Panel'!$A$5:$A$104,A7,'Ratios Panel'!$K$5:$K$104)</f>
        <v>0.131482965465703</v>
      </c>
      <c r="G7" s="42" t="n">
        <f aca="false">AVERAGEIF('Ratios Panel'!$A$5:$A$104,A7,'Ratios Panel'!$L$5:$L$104)</f>
        <v>0.0852138591417324</v>
      </c>
      <c r="H7" s="41" t="n">
        <f aca="false">AVERAGEIF('Ratios Panel'!$A$5:$A$104,A7,'Ratios Panel'!$P$5:$P$104)</f>
        <v>26.643</v>
      </c>
      <c r="I7" s="42" t="n">
        <f aca="false">AVERAGEIF('Ratios Panel'!$A$5:$A$104,A7,'Ratios Panel'!$N$5:$N$104)</f>
        <v>0.0649183862296443</v>
      </c>
      <c r="J7" s="42" t="n">
        <f aca="false">AVERAGEIF('Ratios Panel'!$A$5:$A$104,A7,'Ratios Panel'!$O$5:$O$104)</f>
        <v>0.367649488759982</v>
      </c>
      <c r="K7" s="43" t="n">
        <f aca="false">AVERAGEIF('Ratios Panel'!$A$5:$A$104,A7,'Ratios Panel'!$M$5:$M$104)</f>
        <v>9.1158840912402</v>
      </c>
    </row>
    <row r="8" customFormat="false" ht="15" hidden="false" customHeight="false" outlineLevel="0" collapsed="false">
      <c r="A8" s="12" t="s">
        <v>44</v>
      </c>
      <c r="B8" s="38" t="n">
        <f aca="false">AVERAGEIF('Ratios Panel'!$A$5:$A$104,A8,'Ratios Panel'!$J$5:$J$104)</f>
        <v>0.710206106122647</v>
      </c>
      <c r="C8" s="38" t="n">
        <f aca="false">SQRT(SUMPRODUCT(('Ratios Panel'!$A$5:$A$104=A8)*('Ratios Panel'!$J$5:$J$104-B8)^2)/(COUNTIF('Ratios Panel'!$A$5:$A$104,A8)-1))</f>
        <v>0.37177203457142</v>
      </c>
      <c r="D8" s="38" t="n">
        <f aca="false">_xlfn.MINIFS('Ratios Panel'!$J$5:$J$104,'Ratios Panel'!$A$5:$A$104,A8)</f>
        <v>0.340281143965099</v>
      </c>
      <c r="E8" s="38" t="n">
        <f aca="false">_xlfn.MAXIFS('Ratios Panel'!$J$5:$J$104,'Ratios Panel'!$A$5:$A$104,A8)</f>
        <v>1.45051759834369</v>
      </c>
      <c r="F8" s="39" t="n">
        <f aca="false">AVERAGEIF('Ratios Panel'!$A$5:$A$104,A8,'Ratios Panel'!$K$5:$K$104)</f>
        <v>0.115567293916415</v>
      </c>
      <c r="G8" s="39" t="n">
        <f aca="false">AVERAGEIF('Ratios Panel'!$A$5:$A$104,A8,'Ratios Panel'!$L$5:$L$104)</f>
        <v>0.0609047177991689</v>
      </c>
      <c r="H8" s="38" t="n">
        <f aca="false">AVERAGEIF('Ratios Panel'!$A$5:$A$104,A8,'Ratios Panel'!$P$5:$P$104)</f>
        <v>0.765</v>
      </c>
      <c r="I8" s="39" t="n">
        <f aca="false">AVERAGEIF('Ratios Panel'!$A$5:$A$104,A8,'Ratios Panel'!$N$5:$N$104)</f>
        <v>0.0780888396195776</v>
      </c>
      <c r="J8" s="39" t="n">
        <f aca="false">AVERAGEIF('Ratios Panel'!$A$5:$A$104,A8,'Ratios Panel'!$O$5:$O$104)</f>
        <v>0.658903521350001</v>
      </c>
      <c r="K8" s="40" t="n">
        <f aca="false">AVERAGEIF('Ratios Panel'!$A$5:$A$104,A8,'Ratios Panel'!$M$5:$M$104)</f>
        <v>8.76292351410794</v>
      </c>
    </row>
    <row r="9" customFormat="false" ht="15" hidden="false" customHeight="false" outlineLevel="0" collapsed="false">
      <c r="A9" s="15" t="s">
        <v>45</v>
      </c>
      <c r="B9" s="41" t="n">
        <f aca="false">AVERAGEIF('Ratios Panel'!$A$5:$A$104,A9,'Ratios Panel'!$J$5:$J$104)</f>
        <v>0.695078732479798</v>
      </c>
      <c r="C9" s="41" t="n">
        <f aca="false">SQRT(SUMPRODUCT(('Ratios Panel'!$A$5:$A$104=A9)*('Ratios Panel'!$J$5:$J$104-B9)^2)/(COUNTIF('Ratios Panel'!$A$5:$A$104,A9)-1))</f>
        <v>0.233777965736731</v>
      </c>
      <c r="D9" s="41" t="n">
        <f aca="false">_xlfn.MINIFS('Ratios Panel'!$J$5:$J$104,'Ratios Panel'!$A$5:$A$104,A9)</f>
        <v>0.379637618636756</v>
      </c>
      <c r="E9" s="41" t="n">
        <f aca="false">_xlfn.MAXIFS('Ratios Panel'!$J$5:$J$104,'Ratios Panel'!$A$5:$A$104,A9)</f>
        <v>1.04588077695914</v>
      </c>
      <c r="F9" s="42" t="n">
        <f aca="false">AVERAGEIF('Ratios Panel'!$A$5:$A$104,A9,'Ratios Panel'!$K$5:$K$104)</f>
        <v>0.0634290950722227</v>
      </c>
      <c r="G9" s="42" t="n">
        <f aca="false">AVERAGEIF('Ratios Panel'!$A$5:$A$104,A9,'Ratios Panel'!$L$5:$L$104)</f>
        <v>0.0292024859420398</v>
      </c>
      <c r="H9" s="41" t="n">
        <f aca="false">AVERAGEIF('Ratios Panel'!$A$5:$A$104,A9,'Ratios Panel'!$P$5:$P$104)</f>
        <v>7.706</v>
      </c>
      <c r="I9" s="42" t="n">
        <f aca="false">AVERAGEIF('Ratios Panel'!$A$5:$A$104,A9,'Ratios Panel'!$N$5:$N$104)</f>
        <v>0.0412090645746155</v>
      </c>
      <c r="J9" s="42" t="n">
        <f aca="false">AVERAGEIF('Ratios Panel'!$A$5:$A$104,A9,'Ratios Panel'!$O$5:$O$104)</f>
        <v>0.478467000684093</v>
      </c>
      <c r="K9" s="43" t="n">
        <f aca="false">AVERAGEIF('Ratios Panel'!$A$5:$A$104,A9,'Ratios Panel'!$M$5:$M$104)</f>
        <v>8.83517996106123</v>
      </c>
    </row>
    <row r="10" customFormat="false" ht="15" hidden="false" customHeight="false" outlineLevel="0" collapsed="false">
      <c r="A10" s="12" t="s">
        <v>46</v>
      </c>
      <c r="B10" s="38" t="n">
        <f aca="false">AVERAGEIF('Ratios Panel'!$A$5:$A$104,A10,'Ratios Panel'!$J$5:$J$104)</f>
        <v>1.43311476526879</v>
      </c>
      <c r="C10" s="38" t="n">
        <f aca="false">SQRT(SUMPRODUCT(('Ratios Panel'!$A$5:$A$104=A10)*('Ratios Panel'!$J$5:$J$104-B10)^2)/(COUNTIF('Ratios Panel'!$A$5:$A$104,A10)-1))</f>
        <v>0.514866843330785</v>
      </c>
      <c r="D10" s="38" t="n">
        <f aca="false">_xlfn.MINIFS('Ratios Panel'!$J$5:$J$104,'Ratios Panel'!$A$5:$A$104,A10)</f>
        <v>0.786529680365297</v>
      </c>
      <c r="E10" s="38" t="n">
        <f aca="false">_xlfn.MAXIFS('Ratios Panel'!$J$5:$J$104,'Ratios Panel'!$A$5:$A$104,A10)</f>
        <v>2.15151515151515</v>
      </c>
      <c r="F10" s="39" t="n">
        <f aca="false">AVERAGEIF('Ratios Panel'!$A$5:$A$104,A10,'Ratios Panel'!$K$5:$K$104)</f>
        <v>0.163928747678808</v>
      </c>
      <c r="G10" s="39" t="n">
        <f aca="false">AVERAGEIF('Ratios Panel'!$A$5:$A$104,A10,'Ratios Panel'!$L$5:$L$104)</f>
        <v>0.0655757692441821</v>
      </c>
      <c r="H10" s="38" t="n">
        <f aca="false">AVERAGEIF('Ratios Panel'!$A$5:$A$104,A10,'Ratios Panel'!$P$5:$P$104)</f>
        <v>20.138</v>
      </c>
      <c r="I10" s="39" t="n">
        <f aca="false">AVERAGEIF('Ratios Panel'!$A$5:$A$104,A10,'Ratios Panel'!$N$5:$N$104)</f>
        <v>0.195567496804492</v>
      </c>
      <c r="J10" s="39" t="n">
        <f aca="false">AVERAGEIF('Ratios Panel'!$A$5:$A$104,A10,'Ratios Panel'!$O$5:$O$104)</f>
        <v>0.63298045388299</v>
      </c>
      <c r="K10" s="40" t="n">
        <f aca="false">AVERAGEIF('Ratios Panel'!$A$5:$A$104,A10,'Ratios Panel'!$M$5:$M$104)</f>
        <v>7.32058202452258</v>
      </c>
    </row>
    <row r="11" customFormat="false" ht="15" hidden="false" customHeight="false" outlineLevel="0" collapsed="false">
      <c r="A11" s="15" t="s">
        <v>47</v>
      </c>
      <c r="B11" s="41" t="n">
        <f aca="false">AVERAGEIF('Ratios Panel'!$A$5:$A$104,A11,'Ratios Panel'!$J$5:$J$104)</f>
        <v>0.987958986136188</v>
      </c>
      <c r="C11" s="41" t="n">
        <f aca="false">SQRT(SUMPRODUCT(('Ratios Panel'!$A$5:$A$104=A11)*('Ratios Panel'!$J$5:$J$104-B11)^2)/(COUNTIF('Ratios Panel'!$A$5:$A$104,A11)-1))</f>
        <v>0.158697095602807</v>
      </c>
      <c r="D11" s="41" t="n">
        <f aca="false">_xlfn.MINIFS('Ratios Panel'!$J$5:$J$104,'Ratios Panel'!$A$5:$A$104,A11)</f>
        <v>0.830088495575221</v>
      </c>
      <c r="E11" s="41" t="n">
        <f aca="false">_xlfn.MAXIFS('Ratios Panel'!$J$5:$J$104,'Ratios Panel'!$A$5:$A$104,A11)</f>
        <v>1.26960784313725</v>
      </c>
      <c r="F11" s="42" t="n">
        <f aca="false">AVERAGEIF('Ratios Panel'!$A$5:$A$104,A11,'Ratios Panel'!$K$5:$K$104)</f>
        <v>0.0571023189631033</v>
      </c>
      <c r="G11" s="42" t="n">
        <f aca="false">AVERAGEIF('Ratios Panel'!$A$5:$A$104,A11,'Ratios Panel'!$L$5:$L$104)</f>
        <v>0.0234932550414562</v>
      </c>
      <c r="H11" s="41" t="n">
        <f aca="false">AVERAGEIF('Ratios Panel'!$A$5:$A$104,A11,'Ratios Panel'!$P$5:$P$104)</f>
        <v>2.963</v>
      </c>
      <c r="I11" s="42" t="n">
        <f aca="false">AVERAGEIF('Ratios Panel'!$A$5:$A$104,A11,'Ratios Panel'!$N$5:$N$104)</f>
        <v>0.0542854224797531</v>
      </c>
      <c r="J11" s="42" t="n">
        <f aca="false">AVERAGEIF('Ratios Panel'!$A$5:$A$104,A11,'Ratios Panel'!$O$5:$O$104)</f>
        <v>0.519188400329838</v>
      </c>
      <c r="K11" s="43" t="n">
        <f aca="false">AVERAGEIF('Ratios Panel'!$A$5:$A$104,A11,'Ratios Panel'!$M$5:$M$104)</f>
        <v>7.65929969713598</v>
      </c>
    </row>
    <row r="12" customFormat="false" ht="15" hidden="false" customHeight="false" outlineLevel="0" collapsed="false">
      <c r="A12" s="12" t="s">
        <v>48</v>
      </c>
      <c r="B12" s="38" t="n">
        <f aca="false">AVERAGEIF('Ratios Panel'!$A$5:$A$104,A12,'Ratios Panel'!$J$5:$J$104)</f>
        <v>1.39871951692194</v>
      </c>
      <c r="C12" s="38" t="n">
        <f aca="false">SQRT(SUMPRODUCT(('Ratios Panel'!$A$5:$A$104=A12)*('Ratios Panel'!$J$5:$J$104-B12)^2)/(COUNTIF('Ratios Panel'!$A$5:$A$104,A12)-1))</f>
        <v>1.22796384234325</v>
      </c>
      <c r="D12" s="38" t="n">
        <f aca="false">_xlfn.MINIFS('Ratios Panel'!$J$5:$J$104,'Ratios Panel'!$A$5:$A$104,A12)</f>
        <v>0.0895104895104895</v>
      </c>
      <c r="E12" s="38" t="n">
        <f aca="false">_xlfn.MAXIFS('Ratios Panel'!$J$5:$J$104,'Ratios Panel'!$A$5:$A$104,A12)</f>
        <v>3.63076923076923</v>
      </c>
      <c r="F12" s="39" t="n">
        <f aca="false">AVERAGEIF('Ratios Panel'!$A$5:$A$104,A12,'Ratios Panel'!$K$5:$K$104)</f>
        <v>0.0684570215211522</v>
      </c>
      <c r="G12" s="39" t="n">
        <f aca="false">AVERAGEIF('Ratios Panel'!$A$5:$A$104,A12,'Ratios Panel'!$L$5:$L$104)</f>
        <v>0.0459688412074482</v>
      </c>
      <c r="H12" s="38" t="n">
        <f aca="false">AVERAGEIF('Ratios Panel'!$A$5:$A$104,A12,'Ratios Panel'!$P$5:$P$104)</f>
        <v>11.696</v>
      </c>
      <c r="I12" s="39" t="n">
        <f aca="false">AVERAGEIF('Ratios Panel'!$A$5:$A$104,A12,'Ratios Panel'!$N$5:$N$104)</f>
        <v>0.102114166117092</v>
      </c>
      <c r="J12" s="39" t="n">
        <f aca="false">AVERAGEIF('Ratios Panel'!$A$5:$A$104,A12,'Ratios Panel'!$O$5:$O$104)</f>
        <v>0.156990586994855</v>
      </c>
      <c r="K12" s="40" t="n">
        <f aca="false">AVERAGEIF('Ratios Panel'!$A$5:$A$104,A12,'Ratios Panel'!$M$5:$M$104)</f>
        <v>7.02272441880897</v>
      </c>
    </row>
    <row r="13" customFormat="false" ht="15" hidden="false" customHeight="false" outlineLevel="0" collapsed="false">
      <c r="A13" s="15" t="s">
        <v>49</v>
      </c>
      <c r="B13" s="41" t="n">
        <f aca="false">AVERAGEIF('Ratios Panel'!$A$5:$A$104,A13,'Ratios Panel'!$J$5:$J$104)</f>
        <v>0.422497351793515</v>
      </c>
      <c r="C13" s="41" t="n">
        <f aca="false">SQRT(SUMPRODUCT(('Ratios Panel'!$A$5:$A$104=A13)*('Ratios Panel'!$J$5:$J$104-B13)^2)/(COUNTIF('Ratios Panel'!$A$5:$A$104,A13)-1))</f>
        <v>0.273018067097491</v>
      </c>
      <c r="D13" s="41" t="n">
        <f aca="false">_xlfn.MINIFS('Ratios Panel'!$J$5:$J$104,'Ratios Panel'!$A$5:$A$104,A13)</f>
        <v>0.142857142857143</v>
      </c>
      <c r="E13" s="41" t="n">
        <f aca="false">_xlfn.MAXIFS('Ratios Panel'!$J$5:$J$104,'Ratios Panel'!$A$5:$A$104,A13)</f>
        <v>0.845132743362832</v>
      </c>
      <c r="F13" s="42" t="n">
        <f aca="false">AVERAGEIF('Ratios Panel'!$A$5:$A$104,A13,'Ratios Panel'!$K$5:$K$104)</f>
        <v>0.148245950167086</v>
      </c>
      <c r="G13" s="42" t="n">
        <f aca="false">AVERAGEIF('Ratios Panel'!$A$5:$A$104,A13,'Ratios Panel'!$L$5:$L$104)</f>
        <v>0.0854619382746514</v>
      </c>
      <c r="H13" s="41" t="n">
        <f aca="false">AVERAGEIF('Ratios Panel'!$A$5:$A$104,A13,'Ratios Panel'!$P$5:$P$104)</f>
        <v>28.274</v>
      </c>
      <c r="I13" s="42" t="n">
        <f aca="false">AVERAGEIF('Ratios Panel'!$A$5:$A$104,A13,'Ratios Panel'!$N$5:$N$104)</f>
        <v>0.0699137051724149</v>
      </c>
      <c r="J13" s="42" t="n">
        <f aca="false">AVERAGEIF('Ratios Panel'!$A$5:$A$104,A13,'Ratios Panel'!$O$5:$O$104)</f>
        <v>0.342745436156576</v>
      </c>
      <c r="K13" s="43" t="n">
        <f aca="false">AVERAGEIF('Ratios Panel'!$A$5:$A$104,A13,'Ratios Panel'!$M$5:$M$104)</f>
        <v>7.28781110752553</v>
      </c>
    </row>
    <row r="14" customFormat="false" ht="15" hidden="false" customHeight="false" outlineLevel="0" collapsed="false">
      <c r="A14" s="30" t="s">
        <v>161</v>
      </c>
      <c r="B14" s="32" t="n">
        <f aca="false">AVERAGE('Ratios Panel'!$J$5:$J$104)</f>
        <v>0.752451347969168</v>
      </c>
      <c r="C14" s="32" t="n">
        <f aca="false">STDEV('Ratios Panel'!$J$5:$J$104)</f>
        <v>0.60097433542597</v>
      </c>
      <c r="D14" s="32" t="n">
        <f aca="false">MIN('Ratios Panel'!$J$5:$J$104)</f>
        <v>0.0625</v>
      </c>
      <c r="E14" s="32" t="n">
        <f aca="false">MAX('Ratios Panel'!$J$5:$J$104)</f>
        <v>3.63076923076923</v>
      </c>
      <c r="F14" s="33" t="n">
        <f aca="false">AVERAGE('Ratios Panel'!$K$5:$K$104)</f>
        <v>0.126478921204533</v>
      </c>
      <c r="G14" s="33" t="n">
        <f aca="false">AVERAGE('Ratios Panel'!$L$5:$L$104)</f>
        <v>0.0699756433427535</v>
      </c>
      <c r="H14" s="32" t="n">
        <f aca="false">AVERAGE('Ratios Panel'!$P$5:$P$104)</f>
        <v>12.5072</v>
      </c>
      <c r="I14" s="33" t="n">
        <f aca="false">AVERAGE('Ratios Panel'!$N$5:$N$104)</f>
        <v>0.0859055529216248</v>
      </c>
      <c r="J14" s="33" t="n">
        <f aca="false">AVERAGE('Ratios Panel'!$O$5:$O$104)</f>
        <v>0.426620912522251</v>
      </c>
      <c r="K14" s="34" t="n">
        <f aca="false">AVERAGE('Ratios Panel'!$M$5:$M$104)</f>
        <v>8.03295539262901</v>
      </c>
    </row>
    <row r="16" customFormat="false" ht="15" hidden="false" customHeight="false" outlineLevel="0" collapsed="false">
      <c r="A16" s="21" t="s">
        <v>162</v>
      </c>
    </row>
    <row r="17" customFormat="false" ht="15" hidden="false" customHeight="false" outlineLevel="0" collapsed="false">
      <c r="A17" s="44" t="s">
        <v>67</v>
      </c>
      <c r="B17" s="44" t="s">
        <v>151</v>
      </c>
      <c r="C17" s="44" t="s">
        <v>152</v>
      </c>
      <c r="D17" s="44" t="s">
        <v>155</v>
      </c>
      <c r="E17" s="44" t="s">
        <v>156</v>
      </c>
      <c r="F17" s="44" t="s">
        <v>157</v>
      </c>
    </row>
    <row r="18" customFormat="false" ht="15" hidden="false" customHeight="false" outlineLevel="0" collapsed="false">
      <c r="A18" s="12" t="s">
        <v>77</v>
      </c>
      <c r="B18" s="38" t="n">
        <f aca="false">AVERAGEIF('Ratios Panel'!$B$5:$B$104,A18,'Ratios Panel'!$J$5:$J$104)</f>
        <v>1.10173813781402</v>
      </c>
      <c r="C18" s="38" t="n">
        <f aca="false">SQRT(SUMPRODUCT(('Ratios Panel'!$B$5:$B$104=A18)*('Ratios Panel'!$J$5:$J$104-B18)^2)/(COUNTIF('Ratios Panel'!$B$5:$B$104,A18)-1))</f>
        <v>0.424665176167706</v>
      </c>
      <c r="D18" s="39" t="n">
        <f aca="false">AVERAGEIF('Ratios Panel'!$B$5:$B$104,A18,'Ratios Panel'!$K$5:$K$104)</f>
        <v>0.215612107794847</v>
      </c>
      <c r="E18" s="39" t="n">
        <f aca="false">AVERAGEIF('Ratios Panel'!$B$5:$B$104,A18,'Ratios Panel'!$L$5:$L$104)</f>
        <v>0.0885519850886573</v>
      </c>
      <c r="F18" s="38" t="n">
        <f aca="false">AVERAGEIF('Ratios Panel'!$B$5:$B$104,A18,'Ratios Panel'!$P$5:$P$104)</f>
        <v>11.054</v>
      </c>
    </row>
    <row r="19" customFormat="false" ht="15" hidden="false" customHeight="false" outlineLevel="0" collapsed="false">
      <c r="A19" s="15" t="s">
        <v>78</v>
      </c>
      <c r="B19" s="41" t="n">
        <f aca="false">AVERAGEIF('Ratios Panel'!$B$5:$B$104,A19,'Ratios Panel'!$J$5:$J$104)</f>
        <v>1.12153081081723</v>
      </c>
      <c r="C19" s="41" t="n">
        <f aca="false">SQRT(SUMPRODUCT(('Ratios Panel'!$B$5:$B$104=A19)*('Ratios Panel'!$J$5:$J$104-B19)^2)/(COUNTIF('Ratios Panel'!$B$5:$B$104,A19)-1))</f>
        <v>0.821198365188055</v>
      </c>
      <c r="D19" s="42" t="n">
        <f aca="false">AVERAGEIF('Ratios Panel'!$B$5:$B$104,A19,'Ratios Panel'!$K$5:$K$104)</f>
        <v>0.12931842293965</v>
      </c>
      <c r="E19" s="42" t="n">
        <f aca="false">AVERAGEIF('Ratios Panel'!$B$5:$B$104,A19,'Ratios Panel'!$L$5:$L$104)</f>
        <v>0.0703666165775638</v>
      </c>
      <c r="F19" s="41" t="n">
        <f aca="false">AVERAGEIF('Ratios Panel'!$B$5:$B$104,A19,'Ratios Panel'!$P$5:$P$104)</f>
        <v>8.563</v>
      </c>
    </row>
    <row r="20" customFormat="false" ht="15" hidden="false" customHeight="false" outlineLevel="0" collapsed="false">
      <c r="A20" s="12" t="s">
        <v>79</v>
      </c>
      <c r="B20" s="38" t="n">
        <f aca="false">AVERAGEIF('Ratios Panel'!$B$5:$B$104,A20,'Ratios Panel'!$J$5:$J$104)</f>
        <v>1.08250747307505</v>
      </c>
      <c r="C20" s="38" t="n">
        <f aca="false">SQRT(SUMPRODUCT(('Ratios Panel'!$B$5:$B$104=A20)*('Ratios Panel'!$J$5:$J$104-B20)^2)/(COUNTIF('Ratios Panel'!$B$5:$B$104,A20)-1))</f>
        <v>0.950485471320681</v>
      </c>
      <c r="D20" s="39" t="n">
        <f aca="false">AVERAGEIF('Ratios Panel'!$B$5:$B$104,A20,'Ratios Panel'!$K$5:$K$104)</f>
        <v>0.0905007498726895</v>
      </c>
      <c r="E20" s="39" t="n">
        <f aca="false">AVERAGEIF('Ratios Panel'!$B$5:$B$104,A20,'Ratios Panel'!$L$5:$L$104)</f>
        <v>0.0535594127536674</v>
      </c>
      <c r="F20" s="38" t="n">
        <f aca="false">AVERAGEIF('Ratios Panel'!$B$5:$B$104,A20,'Ratios Panel'!$P$5:$P$104)</f>
        <v>7.627</v>
      </c>
    </row>
    <row r="21" customFormat="false" ht="15" hidden="false" customHeight="false" outlineLevel="0" collapsed="false">
      <c r="A21" s="15" t="s">
        <v>80</v>
      </c>
      <c r="B21" s="41" t="n">
        <f aca="false">AVERAGEIF('Ratios Panel'!$B$5:$B$104,A21,'Ratios Panel'!$J$5:$J$104)</f>
        <v>0.890316556035072</v>
      </c>
      <c r="C21" s="41" t="n">
        <f aca="false">SQRT(SUMPRODUCT(('Ratios Panel'!$B$5:$B$104=A21)*('Ratios Panel'!$J$5:$J$104-B21)^2)/(COUNTIF('Ratios Panel'!$B$5:$B$104,A21)-1))</f>
        <v>0.490017510162969</v>
      </c>
      <c r="D21" s="42" t="n">
        <f aca="false">AVERAGEIF('Ratios Panel'!$B$5:$B$104,A21,'Ratios Panel'!$K$5:$K$104)</f>
        <v>0.108455605391037</v>
      </c>
      <c r="E21" s="42" t="n">
        <f aca="false">AVERAGEIF('Ratios Panel'!$B$5:$B$104,A21,'Ratios Panel'!$L$5:$L$104)</f>
        <v>0.0527818714038622</v>
      </c>
      <c r="F21" s="41" t="n">
        <f aca="false">AVERAGEIF('Ratios Panel'!$B$5:$B$104,A21,'Ratios Panel'!$P$5:$P$104)</f>
        <v>8.801</v>
      </c>
    </row>
    <row r="22" customFormat="false" ht="15" hidden="false" customHeight="false" outlineLevel="0" collapsed="false">
      <c r="A22" s="12" t="s">
        <v>81</v>
      </c>
      <c r="B22" s="38" t="n">
        <f aca="false">AVERAGEIF('Ratios Panel'!$B$5:$B$104,A22,'Ratios Panel'!$J$5:$J$104)</f>
        <v>0.887987629615256</v>
      </c>
      <c r="C22" s="38" t="n">
        <f aca="false">SQRT(SUMPRODUCT(('Ratios Panel'!$B$5:$B$104=A22)*('Ratios Panel'!$J$5:$J$104-B22)^2)/(COUNTIF('Ratios Panel'!$B$5:$B$104,A22)-1))</f>
        <v>0.631691126833347</v>
      </c>
      <c r="D22" s="39" t="n">
        <f aca="false">AVERAGEIF('Ratios Panel'!$B$5:$B$104,A22,'Ratios Panel'!$K$5:$K$104)</f>
        <v>0.103273106312574</v>
      </c>
      <c r="E22" s="39" t="n">
        <f aca="false">AVERAGEIF('Ratios Panel'!$B$5:$B$104,A22,'Ratios Panel'!$L$5:$L$104)</f>
        <v>0.0516769974227511</v>
      </c>
      <c r="F22" s="38" t="n">
        <f aca="false">AVERAGEIF('Ratios Panel'!$B$5:$B$104,A22,'Ratios Panel'!$P$5:$P$104)</f>
        <v>7.259</v>
      </c>
    </row>
    <row r="23" customFormat="false" ht="15" hidden="false" customHeight="false" outlineLevel="0" collapsed="false">
      <c r="A23" s="15" t="s">
        <v>82</v>
      </c>
      <c r="B23" s="41" t="n">
        <f aca="false">AVERAGEIF('Ratios Panel'!$B$5:$B$104,A23,'Ratios Panel'!$J$5:$J$104)</f>
        <v>0.69535496695387</v>
      </c>
      <c r="C23" s="41" t="n">
        <f aca="false">SQRT(SUMPRODUCT(('Ratios Panel'!$B$5:$B$104=A23)*('Ratios Panel'!$J$5:$J$104-B23)^2)/(COUNTIF('Ratios Panel'!$B$5:$B$104,A23)-1))</f>
        <v>0.560264499741422</v>
      </c>
      <c r="D23" s="42" t="n">
        <f aca="false">AVERAGEIF('Ratios Panel'!$B$5:$B$104,A23,'Ratios Panel'!$K$5:$K$104)</f>
        <v>0.101342151751616</v>
      </c>
      <c r="E23" s="42" t="n">
        <f aca="false">AVERAGEIF('Ratios Panel'!$B$5:$B$104,A23,'Ratios Panel'!$L$5:$L$104)</f>
        <v>0.0566872626575824</v>
      </c>
      <c r="F23" s="41" t="n">
        <f aca="false">AVERAGEIF('Ratios Panel'!$B$5:$B$104,A23,'Ratios Panel'!$P$5:$P$104)</f>
        <v>6.808</v>
      </c>
    </row>
    <row r="24" customFormat="false" ht="15" hidden="false" customHeight="false" outlineLevel="0" collapsed="false">
      <c r="A24" s="12" t="s">
        <v>83</v>
      </c>
      <c r="B24" s="38" t="n">
        <f aca="false">AVERAGEIF('Ratios Panel'!$B$5:$B$104,A24,'Ratios Panel'!$J$5:$J$104)</f>
        <v>0.470722596036261</v>
      </c>
      <c r="C24" s="38" t="n">
        <f aca="false">SQRT(SUMPRODUCT(('Ratios Panel'!$B$5:$B$104=A24)*('Ratios Panel'!$J$5:$J$104-B24)^2)/(COUNTIF('Ratios Panel'!$B$5:$B$104,A24)-1))</f>
        <v>0.25375463314015</v>
      </c>
      <c r="D24" s="39" t="n">
        <f aca="false">AVERAGEIF('Ratios Panel'!$B$5:$B$104,A24,'Ratios Panel'!$K$5:$K$104)</f>
        <v>0.196480268398602</v>
      </c>
      <c r="E24" s="39" t="n">
        <f aca="false">AVERAGEIF('Ratios Panel'!$B$5:$B$104,A24,'Ratios Panel'!$L$5:$L$104)</f>
        <v>0.11625427025131</v>
      </c>
      <c r="F24" s="38" t="n">
        <f aca="false">AVERAGEIF('Ratios Panel'!$B$5:$B$104,A24,'Ratios Panel'!$P$5:$P$104)</f>
        <v>23.689</v>
      </c>
    </row>
    <row r="25" customFormat="false" ht="15" hidden="false" customHeight="false" outlineLevel="0" collapsed="false">
      <c r="A25" s="15" t="s">
        <v>84</v>
      </c>
      <c r="B25" s="41" t="n">
        <f aca="false">AVERAGEIF('Ratios Panel'!$B$5:$B$104,A25,'Ratios Panel'!$J$5:$J$104)</f>
        <v>0.42263928362948</v>
      </c>
      <c r="C25" s="41" t="n">
        <f aca="false">SQRT(SUMPRODUCT(('Ratios Panel'!$B$5:$B$104=A25)*('Ratios Panel'!$J$5:$J$104-B25)^2)/(COUNTIF('Ratios Panel'!$B$5:$B$104,A25)-1))</f>
        <v>0.284604615349165</v>
      </c>
      <c r="D25" s="42" t="n">
        <f aca="false">AVERAGEIF('Ratios Panel'!$B$5:$B$104,A25,'Ratios Panel'!$K$5:$K$104)</f>
        <v>0.128307079103345</v>
      </c>
      <c r="E25" s="42" t="n">
        <f aca="false">AVERAGEIF('Ratios Panel'!$B$5:$B$104,A25,'Ratios Panel'!$L$5:$L$104)</f>
        <v>0.0817570647638723</v>
      </c>
      <c r="F25" s="41" t="n">
        <f aca="false">AVERAGEIF('Ratios Panel'!$B$5:$B$104,A25,'Ratios Panel'!$P$5:$P$104)</f>
        <v>18.569</v>
      </c>
    </row>
    <row r="26" customFormat="false" ht="15" hidden="false" customHeight="false" outlineLevel="0" collapsed="false">
      <c r="A26" s="12" t="s">
        <v>85</v>
      </c>
      <c r="B26" s="38" t="n">
        <f aca="false">AVERAGEIF('Ratios Panel'!$B$5:$B$104,A26,'Ratios Panel'!$J$5:$J$104)</f>
        <v>0.449349950829286</v>
      </c>
      <c r="C26" s="38" t="n">
        <f aca="false">SQRT(SUMPRODUCT(('Ratios Panel'!$B$5:$B$104=A26)*('Ratios Panel'!$J$5:$J$104-B26)^2)/(COUNTIF('Ratios Panel'!$B$5:$B$104,A26)-1))</f>
        <v>0.339138511330641</v>
      </c>
      <c r="D26" s="39" t="n">
        <f aca="false">AVERAGEIF('Ratios Panel'!$B$5:$B$104,A26,'Ratios Panel'!$K$5:$K$104)</f>
        <v>0.0988524798719714</v>
      </c>
      <c r="E26" s="39" t="n">
        <f aca="false">AVERAGEIF('Ratios Panel'!$B$5:$B$104,A26,'Ratios Panel'!$L$5:$L$104)</f>
        <v>0.0645926924216604</v>
      </c>
      <c r="F26" s="38" t="n">
        <f aca="false">AVERAGEIF('Ratios Panel'!$B$5:$B$104,A26,'Ratios Panel'!$P$5:$P$104)</f>
        <v>15.372</v>
      </c>
    </row>
    <row r="27" customFormat="false" ht="15" hidden="false" customHeight="false" outlineLevel="0" collapsed="false">
      <c r="A27" s="15" t="s">
        <v>86</v>
      </c>
      <c r="B27" s="41" t="n">
        <f aca="false">AVERAGEIF('Ratios Panel'!$B$5:$B$104,A27,'Ratios Panel'!$J$5:$J$104)</f>
        <v>0.402366074886156</v>
      </c>
      <c r="C27" s="41" t="n">
        <f aca="false">SQRT(SUMPRODUCT(('Ratios Panel'!$B$5:$B$104=A27)*('Ratios Panel'!$J$5:$J$104-B27)^2)/(COUNTIF('Ratios Panel'!$B$5:$B$104,A27)-1))</f>
        <v>0.317608330831837</v>
      </c>
      <c r="D27" s="42" t="n">
        <f aca="false">AVERAGEIF('Ratios Panel'!$B$5:$B$104,A27,'Ratios Panel'!$K$5:$K$104)</f>
        <v>0.0926472406090012</v>
      </c>
      <c r="E27" s="42" t="n">
        <f aca="false">AVERAGEIF('Ratios Panel'!$B$5:$B$104,A27,'Ratios Panel'!$L$5:$L$104)</f>
        <v>0.0635282600866078</v>
      </c>
      <c r="F27" s="41" t="n">
        <f aca="false">AVERAGEIF('Ratios Panel'!$B$5:$B$104,A27,'Ratios Panel'!$P$5:$P$104)</f>
        <v>17.33</v>
      </c>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5" min="2" style="0" width="10"/>
    <col collapsed="false" customWidth="true" hidden="false" outlineLevel="0" max="6" min="6" style="0" width="14"/>
    <col collapsed="false" customWidth="true" hidden="false" outlineLevel="0" max="7" min="7" style="0" width="13"/>
    <col collapsed="false" customWidth="true" hidden="false" outlineLevel="0" max="8" min="8" style="0" width="12"/>
  </cols>
  <sheetData>
    <row r="1" customFormat="false" ht="17.35" hidden="false" customHeight="false" outlineLevel="0" collapsed="false">
      <c r="A1" s="9" t="s">
        <v>163</v>
      </c>
      <c r="B1" s="9"/>
      <c r="C1" s="9"/>
      <c r="D1" s="9"/>
      <c r="E1" s="9"/>
      <c r="F1" s="9"/>
      <c r="G1" s="9"/>
      <c r="H1" s="9"/>
    </row>
    <row r="3" customFormat="false" ht="15" hidden="false" customHeight="false" outlineLevel="0" collapsed="false">
      <c r="A3" s="45"/>
      <c r="B3" s="11" t="s">
        <v>164</v>
      </c>
      <c r="C3" s="11" t="s">
        <v>72</v>
      </c>
      <c r="D3" s="11" t="s">
        <v>73</v>
      </c>
      <c r="E3" s="11" t="s">
        <v>165</v>
      </c>
      <c r="F3" s="11" t="s">
        <v>74</v>
      </c>
      <c r="G3" s="11" t="s">
        <v>166</v>
      </c>
      <c r="H3" s="11" t="s">
        <v>76</v>
      </c>
    </row>
    <row r="4" customFormat="false" ht="15" hidden="false" customHeight="false" outlineLevel="0" collapsed="false">
      <c r="A4" s="46" t="s">
        <v>164</v>
      </c>
      <c r="B4" s="47" t="n">
        <f aca="false">CORREL('Ratios Panel'!$J$5:$J$104,'Ratios Panel'!$J$5:$J$104)</f>
        <v>1</v>
      </c>
      <c r="C4" s="48" t="n">
        <f aca="false">CORREL('Ratios Panel'!$J$5:$J$104,'Ratios Panel'!$K$5:$K$104)</f>
        <v>-0.361342745431293</v>
      </c>
      <c r="D4" s="48" t="n">
        <f aca="false">CORREL('Ratios Panel'!$J$5:$J$104,'Ratios Panel'!$L$5:$L$104)</f>
        <v>-0.510526704274295</v>
      </c>
      <c r="E4" s="48" t="n">
        <f aca="false">CORREL('Ratios Panel'!$J$5:$J$104,'Ratios Panel'!$P$5:$P$104)</f>
        <v>-0.38517443627218</v>
      </c>
      <c r="F4" s="48" t="n">
        <f aca="false">CORREL('Ratios Panel'!$J$5:$J$104,'Ratios Panel'!$M$5:$M$104)</f>
        <v>-0.403698504647419</v>
      </c>
      <c r="G4" s="48" t="n">
        <f aca="false">CORREL('Ratios Panel'!$J$5:$J$104,'Ratios Panel'!$N$5:$N$104)</f>
        <v>-0.0256960224906581</v>
      </c>
      <c r="H4" s="48" t="n">
        <f aca="false">CORREL('Ratios Panel'!$J$5:$J$104,'Ratios Panel'!$O$5:$O$104)</f>
        <v>0.147773904285839</v>
      </c>
    </row>
    <row r="5" customFormat="false" ht="15" hidden="false" customHeight="false" outlineLevel="0" collapsed="false">
      <c r="A5" s="46" t="s">
        <v>72</v>
      </c>
      <c r="B5" s="48" t="n">
        <f aca="false">CORREL('Ratios Panel'!$K$5:$K$104,'Ratios Panel'!$J$5:$J$104)</f>
        <v>-0.361342745431293</v>
      </c>
      <c r="C5" s="47" t="n">
        <f aca="false">CORREL('Ratios Panel'!$K$5:$K$104,'Ratios Panel'!$K$5:$K$104)</f>
        <v>1</v>
      </c>
      <c r="D5" s="48" t="n">
        <f aca="false">CORREL('Ratios Panel'!$K$5:$K$104,'Ratios Panel'!$L$5:$L$104)</f>
        <v>0.876858040123726</v>
      </c>
      <c r="E5" s="48" t="n">
        <f aca="false">CORREL('Ratios Panel'!$K$5:$K$104,'Ratios Panel'!$P$5:$P$104)</f>
        <v>0.533251219412489</v>
      </c>
      <c r="F5" s="48" t="n">
        <f aca="false">CORREL('Ratios Panel'!$K$5:$K$104,'Ratios Panel'!$M$5:$M$104)</f>
        <v>-0.0490096851439366</v>
      </c>
      <c r="G5" s="48" t="n">
        <f aca="false">CORREL('Ratios Panel'!$K$5:$K$104,'Ratios Panel'!$N$5:$N$104)</f>
        <v>0.406297175543993</v>
      </c>
      <c r="H5" s="48" t="n">
        <f aca="false">CORREL('Ratios Panel'!$K$5:$K$104,'Ratios Panel'!$O$5:$O$104)</f>
        <v>-0.00939482530829452</v>
      </c>
    </row>
    <row r="6" customFormat="false" ht="15" hidden="false" customHeight="false" outlineLevel="0" collapsed="false">
      <c r="A6" s="46" t="s">
        <v>73</v>
      </c>
      <c r="B6" s="48" t="n">
        <f aca="false">CORREL('Ratios Panel'!$L$5:$L$104,'Ratios Panel'!$J$5:$J$104)</f>
        <v>-0.510526704274295</v>
      </c>
      <c r="C6" s="48" t="n">
        <f aca="false">CORREL('Ratios Panel'!$L$5:$L$104,'Ratios Panel'!$K$5:$K$104)</f>
        <v>0.876858040123726</v>
      </c>
      <c r="D6" s="47" t="n">
        <f aca="false">CORREL('Ratios Panel'!$L$5:$L$104,'Ratios Panel'!$L$5:$L$104)</f>
        <v>1</v>
      </c>
      <c r="E6" s="48" t="n">
        <f aca="false">CORREL('Ratios Panel'!$L$5:$L$104,'Ratios Panel'!$P$5:$P$104)</f>
        <v>0.6138894569875</v>
      </c>
      <c r="F6" s="48" t="n">
        <f aca="false">CORREL('Ratios Panel'!$L$5:$L$104,'Ratios Panel'!$M$5:$M$104)</f>
        <v>-0.00368957900183124</v>
      </c>
      <c r="G6" s="48" t="n">
        <f aca="false">CORREL('Ratios Panel'!$L$5:$L$104,'Ratios Panel'!$N$5:$N$104)</f>
        <v>0.400079297352052</v>
      </c>
      <c r="H6" s="48" t="n">
        <f aca="false">CORREL('Ratios Panel'!$L$5:$L$104,'Ratios Panel'!$O$5:$O$104)</f>
        <v>-0.224615193289145</v>
      </c>
    </row>
    <row r="7" customFormat="false" ht="15" hidden="false" customHeight="false" outlineLevel="0" collapsed="false">
      <c r="A7" s="46" t="s">
        <v>165</v>
      </c>
      <c r="B7" s="48" t="n">
        <f aca="false">CORREL('Ratios Panel'!$P$5:$P$104,'Ratios Panel'!$J$5:$J$104)</f>
        <v>-0.38517443627218</v>
      </c>
      <c r="C7" s="48" t="n">
        <f aca="false">CORREL('Ratios Panel'!$P$5:$P$104,'Ratios Panel'!$K$5:$K$104)</f>
        <v>0.533251219412489</v>
      </c>
      <c r="D7" s="48" t="n">
        <f aca="false">CORREL('Ratios Panel'!$P$5:$P$104,'Ratios Panel'!$L$5:$L$104)</f>
        <v>0.6138894569875</v>
      </c>
      <c r="E7" s="47" t="n">
        <f aca="false">CORREL('Ratios Panel'!$P$5:$P$104,'Ratios Panel'!$P$5:$P$104)</f>
        <v>1</v>
      </c>
      <c r="F7" s="48" t="n">
        <f aca="false">CORREL('Ratios Panel'!$P$5:$P$104,'Ratios Panel'!$M$5:$M$104)</f>
        <v>-0.0252672779037339</v>
      </c>
      <c r="G7" s="48" t="n">
        <f aca="false">CORREL('Ratios Panel'!$P$5:$P$104,'Ratios Panel'!$N$5:$N$104)</f>
        <v>0.368078289780579</v>
      </c>
      <c r="H7" s="48" t="n">
        <f aca="false">CORREL('Ratios Panel'!$P$5:$P$104,'Ratios Panel'!$O$5:$O$104)</f>
        <v>-0.275703805366698</v>
      </c>
    </row>
    <row r="8" customFormat="false" ht="15" hidden="false" customHeight="false" outlineLevel="0" collapsed="false">
      <c r="A8" s="46" t="s">
        <v>74</v>
      </c>
      <c r="B8" s="48" t="n">
        <f aca="false">CORREL('Ratios Panel'!$M$5:$M$104,'Ratios Panel'!$J$5:$J$104)</f>
        <v>-0.403698504647419</v>
      </c>
      <c r="C8" s="48" t="n">
        <f aca="false">CORREL('Ratios Panel'!$M$5:$M$104,'Ratios Panel'!$K$5:$K$104)</f>
        <v>-0.0490096851439366</v>
      </c>
      <c r="D8" s="48" t="n">
        <f aca="false">CORREL('Ratios Panel'!$M$5:$M$104,'Ratios Panel'!$L$5:$L$104)</f>
        <v>-0.00368957900183124</v>
      </c>
      <c r="E8" s="48" t="n">
        <f aca="false">CORREL('Ratios Panel'!$M$5:$M$104,'Ratios Panel'!$P$5:$P$104)</f>
        <v>-0.0252672779037339</v>
      </c>
      <c r="F8" s="47" t="n">
        <f aca="false">CORREL('Ratios Panel'!$M$5:$M$104,'Ratios Panel'!$M$5:$M$104)</f>
        <v>1</v>
      </c>
      <c r="G8" s="48" t="n">
        <f aca="false">CORREL('Ratios Panel'!$M$5:$M$104,'Ratios Panel'!$N$5:$N$104)</f>
        <v>-0.0658023342009684</v>
      </c>
      <c r="H8" s="48" t="n">
        <f aca="false">CORREL('Ratios Panel'!$M$5:$M$104,'Ratios Panel'!$O$5:$O$104)</f>
        <v>0.241066508099696</v>
      </c>
    </row>
    <row r="9" customFormat="false" ht="15" hidden="false" customHeight="false" outlineLevel="0" collapsed="false">
      <c r="A9" s="46" t="s">
        <v>166</v>
      </c>
      <c r="B9" s="48" t="n">
        <f aca="false">CORREL('Ratios Panel'!$N$5:$N$104,'Ratios Panel'!$J$5:$J$104)</f>
        <v>-0.0256960224906581</v>
      </c>
      <c r="C9" s="48" t="n">
        <f aca="false">CORREL('Ratios Panel'!$N$5:$N$104,'Ratios Panel'!$K$5:$K$104)</f>
        <v>0.406297175543993</v>
      </c>
      <c r="D9" s="48" t="n">
        <f aca="false">CORREL('Ratios Panel'!$N$5:$N$104,'Ratios Panel'!$L$5:$L$104)</f>
        <v>0.400079297352052</v>
      </c>
      <c r="E9" s="48" t="n">
        <f aca="false">CORREL('Ratios Panel'!$N$5:$N$104,'Ratios Panel'!$P$5:$P$104)</f>
        <v>0.368078289780579</v>
      </c>
      <c r="F9" s="48" t="n">
        <f aca="false">CORREL('Ratios Panel'!$N$5:$N$104,'Ratios Panel'!$M$5:$M$104)</f>
        <v>-0.0658023342009684</v>
      </c>
      <c r="G9" s="47" t="n">
        <f aca="false">CORREL('Ratios Panel'!$N$5:$N$104,'Ratios Panel'!$N$5:$N$104)</f>
        <v>1</v>
      </c>
      <c r="H9" s="48" t="n">
        <f aca="false">CORREL('Ratios Panel'!$N$5:$N$104,'Ratios Panel'!$O$5:$O$104)</f>
        <v>-0.0268784960710544</v>
      </c>
    </row>
    <row r="10" customFormat="false" ht="15" hidden="false" customHeight="false" outlineLevel="0" collapsed="false">
      <c r="A10" s="46" t="s">
        <v>76</v>
      </c>
      <c r="B10" s="48" t="n">
        <f aca="false">CORREL('Ratios Panel'!$O$5:$O$104,'Ratios Panel'!$J$5:$J$104)</f>
        <v>0.147773904285839</v>
      </c>
      <c r="C10" s="48" t="n">
        <f aca="false">CORREL('Ratios Panel'!$O$5:$O$104,'Ratios Panel'!$K$5:$K$104)</f>
        <v>-0.00939482530829452</v>
      </c>
      <c r="D10" s="48" t="n">
        <f aca="false">CORREL('Ratios Panel'!$O$5:$O$104,'Ratios Panel'!$L$5:$L$104)</f>
        <v>-0.224615193289145</v>
      </c>
      <c r="E10" s="48" t="n">
        <f aca="false">CORREL('Ratios Panel'!$O$5:$O$104,'Ratios Panel'!$P$5:$P$104)</f>
        <v>-0.275703805366698</v>
      </c>
      <c r="F10" s="48" t="n">
        <f aca="false">CORREL('Ratios Panel'!$O$5:$O$104,'Ratios Panel'!$M$5:$M$104)</f>
        <v>0.241066508099696</v>
      </c>
      <c r="G10" s="48" t="n">
        <f aca="false">CORREL('Ratios Panel'!$O$5:$O$104,'Ratios Panel'!$N$5:$N$104)</f>
        <v>-0.0268784960710544</v>
      </c>
      <c r="H10" s="47" t="n">
        <f aca="false">CORREL('Ratios Panel'!$O$5:$O$104,'Ratios Panel'!$O$5:$O$104)</f>
        <v>1</v>
      </c>
    </row>
    <row r="12" customFormat="false" ht="15" hidden="false" customHeight="true" outlineLevel="0" collapsed="false">
      <c r="A12" s="49" t="s">
        <v>167</v>
      </c>
      <c r="B12" s="49"/>
      <c r="C12" s="49"/>
      <c r="D12" s="49"/>
      <c r="E12" s="49"/>
      <c r="F12" s="49"/>
      <c r="G12" s="49"/>
      <c r="H12" s="49"/>
    </row>
    <row r="13" customFormat="false" ht="15" hidden="false" customHeight="false" outlineLevel="0" collapsed="false">
      <c r="A13" s="49"/>
      <c r="B13" s="49"/>
      <c r="C13" s="49"/>
      <c r="D13" s="49"/>
      <c r="E13" s="49"/>
      <c r="F13" s="49"/>
      <c r="G13" s="49"/>
      <c r="H13" s="49"/>
    </row>
    <row r="14" customFormat="false" ht="15" hidden="false" customHeight="false" outlineLevel="0" collapsed="false">
      <c r="A14" s="49"/>
      <c r="B14" s="49"/>
      <c r="C14" s="49"/>
      <c r="D14" s="49"/>
      <c r="E14" s="49"/>
      <c r="F14" s="49"/>
      <c r="G14" s="49"/>
      <c r="H14" s="49"/>
    </row>
  </sheetData>
  <mergeCells count="2">
    <mergeCell ref="A1:H1"/>
    <mergeCell ref="A12:H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4"/>
    <col collapsed="false" customWidth="true" hidden="false" outlineLevel="0" max="4" min="3" style="0" width="13"/>
    <col collapsed="false" customWidth="true" hidden="false" outlineLevel="0" max="5" min="5" style="0" width="12"/>
    <col collapsed="false" customWidth="true" hidden="false" outlineLevel="0" max="6" min="6" style="0" width="16"/>
  </cols>
  <sheetData>
    <row r="1" customFormat="false" ht="17.35" hidden="false" customHeight="false" outlineLevel="0" collapsed="false">
      <c r="A1" s="9" t="s">
        <v>168</v>
      </c>
      <c r="B1" s="9"/>
      <c r="C1" s="9"/>
      <c r="D1" s="9"/>
      <c r="E1" s="9"/>
      <c r="F1" s="9"/>
    </row>
    <row r="2" customFormat="false" ht="42" hidden="false" customHeight="true" outlineLevel="0" collapsed="false">
      <c r="A2" s="10" t="s">
        <v>169</v>
      </c>
      <c r="B2" s="10"/>
      <c r="C2" s="10"/>
      <c r="D2" s="10"/>
      <c r="E2" s="10"/>
      <c r="F2" s="10"/>
    </row>
    <row r="4" customFormat="false" ht="15" hidden="false" customHeight="false" outlineLevel="0" collapsed="false">
      <c r="A4" s="11" t="s">
        <v>170</v>
      </c>
      <c r="B4" s="11" t="s">
        <v>171</v>
      </c>
      <c r="C4" s="11" t="s">
        <v>172</v>
      </c>
      <c r="D4" s="11" t="s">
        <v>173</v>
      </c>
      <c r="E4" s="11" t="s">
        <v>174</v>
      </c>
      <c r="F4" s="11" t="s">
        <v>175</v>
      </c>
    </row>
    <row r="5" customFormat="false" ht="15" hidden="false" customHeight="false" outlineLevel="0" collapsed="false">
      <c r="A5" s="12" t="s">
        <v>176</v>
      </c>
      <c r="B5" s="25" t="n">
        <v>0.3815</v>
      </c>
      <c r="C5" s="25" t="n">
        <v>0.1001</v>
      </c>
      <c r="D5" s="48" t="n">
        <v>3.81</v>
      </c>
      <c r="E5" s="25" t="n">
        <v>0.0002</v>
      </c>
      <c r="F5" s="12" t="s">
        <v>177</v>
      </c>
    </row>
    <row r="6" customFormat="false" ht="15" hidden="false" customHeight="false" outlineLevel="0" collapsed="false">
      <c r="A6" s="12" t="s">
        <v>178</v>
      </c>
      <c r="B6" s="25" t="n">
        <v>-0.0772</v>
      </c>
      <c r="C6" s="25" t="n">
        <v>0.0157</v>
      </c>
      <c r="D6" s="48" t="n">
        <v>-4.9264</v>
      </c>
      <c r="E6" s="25" t="n">
        <v>0</v>
      </c>
      <c r="F6" s="12" t="s">
        <v>177</v>
      </c>
    </row>
    <row r="7" customFormat="false" ht="15" hidden="false" customHeight="false" outlineLevel="0" collapsed="false">
      <c r="A7" s="12" t="s">
        <v>179</v>
      </c>
      <c r="B7" s="25" t="n">
        <v>-0.0311</v>
      </c>
      <c r="C7" s="25" t="n">
        <v>0.0124</v>
      </c>
      <c r="D7" s="48" t="n">
        <v>-2.5143</v>
      </c>
      <c r="E7" s="25" t="n">
        <v>0.0136</v>
      </c>
      <c r="F7" s="12" t="s">
        <v>180</v>
      </c>
    </row>
    <row r="8" customFormat="false" ht="15" hidden="false" customHeight="false" outlineLevel="0" collapsed="false">
      <c r="A8" s="12" t="s">
        <v>181</v>
      </c>
      <c r="B8" s="25" t="n">
        <v>0.1964</v>
      </c>
      <c r="C8" s="25" t="n">
        <v>0.0432</v>
      </c>
      <c r="D8" s="48" t="n">
        <v>4.5452</v>
      </c>
      <c r="E8" s="25" t="n">
        <v>0</v>
      </c>
      <c r="F8" s="12" t="s">
        <v>177</v>
      </c>
    </row>
    <row r="9" customFormat="false" ht="15" hidden="false" customHeight="false" outlineLevel="0" collapsed="false">
      <c r="A9" s="12" t="s">
        <v>182</v>
      </c>
      <c r="B9" s="25" t="n">
        <v>0.0835</v>
      </c>
      <c r="C9" s="25" t="n">
        <v>0.058</v>
      </c>
      <c r="D9" s="48" t="n">
        <v>1.4404</v>
      </c>
      <c r="E9" s="25" t="n">
        <v>0.153</v>
      </c>
      <c r="F9" s="12" t="s">
        <v>183</v>
      </c>
    </row>
    <row r="11" customFormat="false" ht="15" hidden="false" customHeight="false" outlineLevel="0" collapsed="false">
      <c r="A11" s="21" t="s">
        <v>184</v>
      </c>
    </row>
    <row r="12" customFormat="false" ht="15" hidden="false" customHeight="false" outlineLevel="0" collapsed="false">
      <c r="A12" s="50" t="s">
        <v>185</v>
      </c>
      <c r="B12" s="51" t="n">
        <v>0.335409</v>
      </c>
    </row>
    <row r="13" customFormat="false" ht="15" hidden="false" customHeight="false" outlineLevel="0" collapsed="false">
      <c r="A13" s="50" t="s">
        <v>186</v>
      </c>
      <c r="B13" s="51" t="n">
        <v>0.307426</v>
      </c>
    </row>
    <row r="14" customFormat="false" ht="15" hidden="false" customHeight="false" outlineLevel="0" collapsed="false">
      <c r="A14" s="50" t="s">
        <v>187</v>
      </c>
      <c r="B14" s="51" t="n">
        <v>11.986248</v>
      </c>
    </row>
    <row r="15" customFormat="false" ht="15" hidden="false" customHeight="false" outlineLevel="0" collapsed="false">
      <c r="A15" s="50" t="s">
        <v>188</v>
      </c>
      <c r="B15" s="52" t="n">
        <v>0</v>
      </c>
    </row>
    <row r="16" customFormat="false" ht="15" hidden="false" customHeight="false" outlineLevel="0" collapsed="false">
      <c r="A16" s="50" t="s">
        <v>189</v>
      </c>
      <c r="B16" s="50" t="n">
        <v>100</v>
      </c>
    </row>
    <row r="18" customFormat="false" ht="15" hidden="false" customHeight="false" outlineLevel="0" collapsed="false">
      <c r="A18" s="53" t="s">
        <v>190</v>
      </c>
      <c r="B18" s="53"/>
      <c r="C18" s="53"/>
      <c r="D18" s="53"/>
      <c r="E18" s="53"/>
      <c r="F18" s="53"/>
    </row>
    <row r="19" customFormat="false" ht="15" hidden="false" customHeight="false" outlineLevel="0" collapsed="false">
      <c r="A19" s="46" t="s">
        <v>170</v>
      </c>
      <c r="B19" s="46" t="s">
        <v>171</v>
      </c>
      <c r="C19" s="46" t="s">
        <v>172</v>
      </c>
      <c r="D19" s="46" t="s">
        <v>173</v>
      </c>
      <c r="E19" s="46" t="s">
        <v>174</v>
      </c>
      <c r="F19" s="46" t="s">
        <v>175</v>
      </c>
    </row>
    <row r="20" customFormat="false" ht="15" hidden="false" customHeight="false" outlineLevel="0" collapsed="false">
      <c r="A20" s="12" t="s">
        <v>176</v>
      </c>
      <c r="B20" s="40" t="n">
        <v>0.2087</v>
      </c>
      <c r="C20" s="40" t="n">
        <v>0.0471</v>
      </c>
      <c r="D20" s="54" t="n">
        <v>4.4299</v>
      </c>
      <c r="E20" s="40" t="n">
        <v>0</v>
      </c>
      <c r="F20" s="12" t="s">
        <v>177</v>
      </c>
    </row>
    <row r="21" customFormat="false" ht="15" hidden="false" customHeight="false" outlineLevel="0" collapsed="false">
      <c r="A21" s="12" t="s">
        <v>178</v>
      </c>
      <c r="B21" s="40" t="n">
        <v>-0.0482</v>
      </c>
      <c r="C21" s="40" t="n">
        <v>0.0074</v>
      </c>
      <c r="D21" s="54" t="n">
        <v>-6.5346</v>
      </c>
      <c r="E21" s="40" t="n">
        <v>0</v>
      </c>
      <c r="F21" s="12" t="s">
        <v>177</v>
      </c>
    </row>
    <row r="22" customFormat="false" ht="15" hidden="false" customHeight="false" outlineLevel="0" collapsed="false">
      <c r="A22" s="12" t="s">
        <v>179</v>
      </c>
      <c r="B22" s="40" t="n">
        <v>-0.0123</v>
      </c>
      <c r="C22" s="40" t="n">
        <v>0.0058</v>
      </c>
      <c r="D22" s="54" t="n">
        <v>-2.1114</v>
      </c>
      <c r="E22" s="40" t="n">
        <v>0.0374</v>
      </c>
      <c r="F22" s="12" t="s">
        <v>180</v>
      </c>
    </row>
    <row r="23" customFormat="false" ht="15" hidden="false" customHeight="false" outlineLevel="0" collapsed="false">
      <c r="A23" s="12" t="s">
        <v>181</v>
      </c>
      <c r="B23" s="40" t="n">
        <v>0.0993</v>
      </c>
      <c r="C23" s="40" t="n">
        <v>0.0203</v>
      </c>
      <c r="D23" s="54" t="n">
        <v>4.8853</v>
      </c>
      <c r="E23" s="40" t="n">
        <v>0</v>
      </c>
      <c r="F23" s="12" t="s">
        <v>177</v>
      </c>
    </row>
    <row r="24" customFormat="false" ht="15" hidden="false" customHeight="false" outlineLevel="0" collapsed="false">
      <c r="A24" s="12" t="s">
        <v>182</v>
      </c>
      <c r="B24" s="40" t="n">
        <v>-0.0291</v>
      </c>
      <c r="C24" s="40" t="n">
        <v>0.0273</v>
      </c>
      <c r="D24" s="54" t="n">
        <v>-1.0682</v>
      </c>
      <c r="E24" s="40" t="n">
        <v>0.2882</v>
      </c>
      <c r="F24" s="12" t="s">
        <v>183</v>
      </c>
    </row>
    <row r="26" customFormat="false" ht="15" hidden="false" customHeight="false" outlineLevel="0" collapsed="false">
      <c r="A26" s="50" t="s">
        <v>191</v>
      </c>
    </row>
  </sheetData>
  <mergeCells count="3">
    <mergeCell ref="A1:F1"/>
    <mergeCell ref="A2:F2"/>
    <mergeCell ref="A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E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46"/>
    <col collapsed="false" customWidth="true" hidden="false" outlineLevel="0" max="4" min="4" style="0" width="26"/>
  </cols>
  <sheetData>
    <row r="1" customFormat="false" ht="17.35" hidden="false" customHeight="false" outlineLevel="0" collapsed="false">
      <c r="A1" s="55" t="s">
        <v>192</v>
      </c>
      <c r="B1" s="55"/>
      <c r="C1" s="55"/>
      <c r="D1" s="55"/>
      <c r="E1" s="55"/>
    </row>
    <row r="2" customFormat="false" ht="39.75" hidden="false" customHeight="true" outlineLevel="0" collapsed="false">
      <c r="A2" s="10" t="s">
        <v>193</v>
      </c>
      <c r="B2" s="10"/>
      <c r="C2" s="10"/>
      <c r="D2" s="10"/>
      <c r="E2" s="10"/>
    </row>
    <row r="4" customFormat="false" ht="19.5" hidden="false" customHeight="true" outlineLevel="0" collapsed="false">
      <c r="A4" s="56" t="s">
        <v>194</v>
      </c>
      <c r="B4" s="56"/>
      <c r="C4" s="56"/>
      <c r="D4" s="56"/>
      <c r="E4" s="56"/>
    </row>
    <row r="5" customFormat="false" ht="15" hidden="false" customHeight="false" outlineLevel="0" collapsed="false">
      <c r="A5" s="11" t="s">
        <v>195</v>
      </c>
      <c r="B5" s="11" t="s">
        <v>196</v>
      </c>
      <c r="C5" s="11" t="s">
        <v>197</v>
      </c>
      <c r="D5" s="11" t="s">
        <v>198</v>
      </c>
    </row>
    <row r="6" customFormat="false" ht="27.75" hidden="false" customHeight="true" outlineLevel="0" collapsed="false">
      <c r="A6" s="57" t="s">
        <v>69</v>
      </c>
      <c r="B6" s="58" t="s">
        <v>199</v>
      </c>
      <c r="C6" s="59" t="s">
        <v>200</v>
      </c>
      <c r="D6" s="60" t="s">
        <v>201</v>
      </c>
    </row>
    <row r="7" customFormat="false" ht="27.75" hidden="false" customHeight="true" outlineLevel="0" collapsed="false">
      <c r="A7" s="57" t="s">
        <v>71</v>
      </c>
      <c r="B7" s="58" t="s">
        <v>202</v>
      </c>
      <c r="C7" s="59" t="s">
        <v>203</v>
      </c>
      <c r="D7" s="60" t="s">
        <v>204</v>
      </c>
    </row>
    <row r="8" customFormat="false" ht="27.75" hidden="false" customHeight="true" outlineLevel="0" collapsed="false">
      <c r="A8" s="57" t="s">
        <v>72</v>
      </c>
      <c r="B8" s="58" t="s">
        <v>205</v>
      </c>
      <c r="C8" s="59" t="s">
        <v>206</v>
      </c>
      <c r="D8" s="60" t="s">
        <v>207</v>
      </c>
    </row>
    <row r="9" customFormat="false" ht="27.75" hidden="false" customHeight="true" outlineLevel="0" collapsed="false">
      <c r="A9" s="57" t="s">
        <v>73</v>
      </c>
      <c r="B9" s="58" t="s">
        <v>208</v>
      </c>
      <c r="C9" s="59" t="s">
        <v>209</v>
      </c>
      <c r="D9" s="60" t="s">
        <v>210</v>
      </c>
    </row>
    <row r="10" customFormat="false" ht="27.75" hidden="false" customHeight="true" outlineLevel="0" collapsed="false">
      <c r="A10" s="57" t="s">
        <v>211</v>
      </c>
      <c r="B10" s="58" t="s">
        <v>212</v>
      </c>
      <c r="C10" s="59" t="s">
        <v>213</v>
      </c>
      <c r="D10" s="60" t="s">
        <v>214</v>
      </c>
    </row>
    <row r="11" customFormat="false" ht="27.75" hidden="false" customHeight="true" outlineLevel="0" collapsed="false">
      <c r="A11" s="57" t="s">
        <v>75</v>
      </c>
      <c r="B11" s="58" t="s">
        <v>215</v>
      </c>
      <c r="C11" s="59" t="s">
        <v>216</v>
      </c>
      <c r="D11" s="60" t="s">
        <v>217</v>
      </c>
    </row>
    <row r="12" customFormat="false" ht="27.75" hidden="false" customHeight="true" outlineLevel="0" collapsed="false">
      <c r="A12" s="57" t="s">
        <v>76</v>
      </c>
      <c r="B12" s="58" t="s">
        <v>218</v>
      </c>
      <c r="C12" s="59" t="s">
        <v>219</v>
      </c>
      <c r="D12" s="60" t="s">
        <v>220</v>
      </c>
    </row>
    <row r="13" customFormat="false" ht="27.75" hidden="false" customHeight="true" outlineLevel="0" collapsed="false">
      <c r="A13" s="57" t="s">
        <v>165</v>
      </c>
      <c r="B13" s="58" t="s">
        <v>221</v>
      </c>
      <c r="C13" s="59" t="s">
        <v>222</v>
      </c>
      <c r="D13" s="60" t="s">
        <v>223</v>
      </c>
    </row>
    <row r="15" customFormat="false" ht="19.5" hidden="false" customHeight="true" outlineLevel="0" collapsed="false">
      <c r="A15" s="56" t="s">
        <v>224</v>
      </c>
      <c r="B15" s="56"/>
      <c r="C15" s="56"/>
      <c r="D15" s="56"/>
      <c r="E15" s="56"/>
    </row>
    <row r="16" customFormat="false" ht="15" hidden="false" customHeight="false" outlineLevel="0" collapsed="false">
      <c r="A16" s="11" t="s">
        <v>195</v>
      </c>
      <c r="B16" s="11" t="s">
        <v>196</v>
      </c>
      <c r="C16" s="11" t="s">
        <v>197</v>
      </c>
      <c r="D16" s="11" t="s">
        <v>198</v>
      </c>
    </row>
    <row r="17" customFormat="false" ht="27.75" hidden="false" customHeight="true" outlineLevel="0" collapsed="false">
      <c r="A17" s="57" t="s">
        <v>225</v>
      </c>
      <c r="B17" s="58" t="s">
        <v>226</v>
      </c>
      <c r="C17" s="59" t="s">
        <v>227</v>
      </c>
      <c r="D17" s="60" t="s">
        <v>228</v>
      </c>
    </row>
    <row r="18" customFormat="false" ht="27.75" hidden="false" customHeight="true" outlineLevel="0" collapsed="false">
      <c r="A18" s="57" t="s">
        <v>229</v>
      </c>
      <c r="B18" s="58" t="s">
        <v>230</v>
      </c>
      <c r="C18" s="59" t="s">
        <v>231</v>
      </c>
      <c r="D18" s="60" t="s">
        <v>232</v>
      </c>
    </row>
    <row r="19" customFormat="false" ht="27.75" hidden="false" customHeight="true" outlineLevel="0" collapsed="false">
      <c r="A19" s="57" t="s">
        <v>233</v>
      </c>
      <c r="B19" s="58" t="s">
        <v>234</v>
      </c>
      <c r="C19" s="59" t="s">
        <v>235</v>
      </c>
      <c r="D19" s="60" t="s">
        <v>236</v>
      </c>
    </row>
    <row r="20" customFormat="false" ht="27.75" hidden="false" customHeight="true" outlineLevel="0" collapsed="false">
      <c r="A20" s="57" t="s">
        <v>237</v>
      </c>
      <c r="B20" s="58" t="s">
        <v>238</v>
      </c>
      <c r="C20" s="59" t="s">
        <v>239</v>
      </c>
      <c r="D20" s="60" t="s">
        <v>240</v>
      </c>
    </row>
    <row r="22" customFormat="false" ht="19.5" hidden="false" customHeight="true" outlineLevel="0" collapsed="false">
      <c r="A22" s="56" t="s">
        <v>241</v>
      </c>
      <c r="B22" s="56"/>
      <c r="C22" s="56"/>
      <c r="D22" s="56"/>
      <c r="E22" s="56"/>
    </row>
    <row r="23" customFormat="false" ht="15" hidden="false" customHeight="false" outlineLevel="0" collapsed="false">
      <c r="A23" s="11" t="s">
        <v>195</v>
      </c>
      <c r="B23" s="11" t="s">
        <v>196</v>
      </c>
      <c r="C23" s="11" t="s">
        <v>197</v>
      </c>
      <c r="D23" s="11" t="s">
        <v>198</v>
      </c>
    </row>
    <row r="24" customFormat="false" ht="27.75" hidden="false" customHeight="true" outlineLevel="0" collapsed="false">
      <c r="A24" s="57" t="s">
        <v>242</v>
      </c>
      <c r="B24" s="58" t="s">
        <v>243</v>
      </c>
      <c r="C24" s="59" t="s">
        <v>244</v>
      </c>
      <c r="D24" s="60" t="s">
        <v>245</v>
      </c>
    </row>
    <row r="26" customFormat="false" ht="19.5" hidden="false" customHeight="true" outlineLevel="0" collapsed="false">
      <c r="A26" s="56" t="s">
        <v>246</v>
      </c>
      <c r="B26" s="56"/>
      <c r="C26" s="56"/>
      <c r="D26" s="56"/>
      <c r="E26" s="56"/>
    </row>
    <row r="27" customFormat="false" ht="15" hidden="false" customHeight="false" outlineLevel="0" collapsed="false">
      <c r="A27" s="11" t="s">
        <v>195</v>
      </c>
      <c r="B27" s="11" t="s">
        <v>196</v>
      </c>
      <c r="C27" s="11" t="s">
        <v>197</v>
      </c>
      <c r="D27" s="11" t="s">
        <v>198</v>
      </c>
    </row>
    <row r="28" customFormat="false" ht="27.75" hidden="false" customHeight="true" outlineLevel="0" collapsed="false">
      <c r="A28" s="57" t="s">
        <v>247</v>
      </c>
      <c r="B28" s="58" t="s">
        <v>248</v>
      </c>
      <c r="C28" s="59" t="s">
        <v>249</v>
      </c>
      <c r="D28" s="60" t="s">
        <v>250</v>
      </c>
    </row>
    <row r="29" customFormat="false" ht="27.75" hidden="false" customHeight="true" outlineLevel="0" collapsed="false">
      <c r="A29" s="57" t="s">
        <v>251</v>
      </c>
      <c r="B29" s="58" t="s">
        <v>252</v>
      </c>
      <c r="C29" s="59" t="s">
        <v>253</v>
      </c>
      <c r="D29" s="60" t="s">
        <v>254</v>
      </c>
    </row>
    <row r="30" customFormat="false" ht="27.75" hidden="false" customHeight="true" outlineLevel="0" collapsed="false">
      <c r="A30" s="57" t="s">
        <v>255</v>
      </c>
      <c r="B30" s="58" t="s">
        <v>256</v>
      </c>
      <c r="C30" s="59" t="s">
        <v>257</v>
      </c>
      <c r="D30" s="60" t="s">
        <v>254</v>
      </c>
    </row>
    <row r="32" customFormat="false" ht="19.5" hidden="false" customHeight="true" outlineLevel="0" collapsed="false">
      <c r="A32" s="56" t="s">
        <v>258</v>
      </c>
      <c r="B32" s="56"/>
      <c r="C32" s="56"/>
      <c r="D32" s="56"/>
      <c r="E32" s="56"/>
    </row>
    <row r="33" customFormat="false" ht="15.75" hidden="false" customHeight="true" outlineLevel="0" collapsed="false">
      <c r="A33" s="57" t="s">
        <v>259</v>
      </c>
      <c r="B33" s="7" t="s">
        <v>260</v>
      </c>
      <c r="C33" s="7"/>
      <c r="D33" s="7"/>
    </row>
    <row r="34" customFormat="false" ht="15.75" hidden="false" customHeight="true" outlineLevel="0" collapsed="false">
      <c r="B34" s="7"/>
      <c r="C34" s="7"/>
      <c r="D34" s="7"/>
    </row>
    <row r="35" customFormat="false" ht="15.75" hidden="false" customHeight="true" outlineLevel="0" collapsed="false">
      <c r="B35" s="7"/>
      <c r="C35" s="7"/>
      <c r="D35" s="7"/>
    </row>
    <row r="36" customFormat="false" ht="15.75" hidden="false" customHeight="true" outlineLevel="0" collapsed="false">
      <c r="B36" s="7"/>
      <c r="C36" s="7"/>
      <c r="D36" s="7"/>
    </row>
    <row r="37" customFormat="false" ht="15.75" hidden="false" customHeight="true" outlineLevel="0" collapsed="false">
      <c r="B37" s="7"/>
      <c r="C37" s="7"/>
      <c r="D37" s="7"/>
    </row>
  </sheetData>
  <mergeCells count="8">
    <mergeCell ref="A1:E1"/>
    <mergeCell ref="A2:E2"/>
    <mergeCell ref="A4:E4"/>
    <mergeCell ref="A15:E15"/>
    <mergeCell ref="A22:E22"/>
    <mergeCell ref="A26:E26"/>
    <mergeCell ref="A32:E32"/>
    <mergeCell ref="B33:D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2026-09-26T04:03:19Z</dcterms:created>
  <dc:creator>openpyxl</dc:creator>
  <dc:description/>
  <dc:language>en-US</dc:language>
  <cp:lastModifiedBy/>
  <dcterms:modified xsi:type="dcterms:W3CDTF">2026-09-26T04:03:21Z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