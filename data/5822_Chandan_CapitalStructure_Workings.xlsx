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Notes" sheetId="1" state="visible" r:id="rId3"/>
    <sheet name="Raw Data" sheetId="2" state="visible" r:id="rId4"/>
    <sheet name="KPR Mill" sheetId="3" state="visible" r:id="rId5"/>
    <sheet name="Welspun Living" sheetId="4" state="visible" r:id="rId6"/>
    <sheet name="Indo Count Industries" sheetId="5" state="visible" r:id="rId7"/>
    <sheet name="Vardhman Textiles" sheetId="6" state="visible" r:id="rId8"/>
    <sheet name="Trident" sheetId="7" state="visible" r:id="rId9"/>
    <sheet name="Arvind" sheetId="8" state="visible" r:id="rId10"/>
    <sheet name="Nitin Spinners" sheetId="9" state="visible" r:id="rId11"/>
    <sheet name="Sutlej Textiles" sheetId="10" state="visible" r:id="rId12"/>
    <sheet name="Gokaldas Exports" sheetId="11" state="visible" r:id="rId13"/>
    <sheet name="Siyaram Silk Mills" sheetId="12" state="visible" r:id="rId14"/>
    <sheet name="Ratios Panel" sheetId="13" state="visible" r:id="rId15"/>
    <sheet name="Descriptive Stats" sheetId="14" state="visible" r:id="rId16"/>
    <sheet name="Correlation Matrix" sheetId="15" state="visible" r:id="rId17"/>
    <sheet name="Regression Output" sheetId="16" state="visible" r:id="rId18"/>
    <sheet name="ET Wealth Link" sheetId="17" state="visible" r:id="rId19"/>
    <sheet name="Theory Formulas" sheetId="18" state="visible" r:id="rId20"/>
    <sheet name="Formulas Used" sheetId="19" state="visible" r:id="rId21"/>
  </sheets>
  <definedNames>
    <definedName function="false" hidden="false" localSheetId="14" name="_xlnm.Print_Titles" vbProcedure="false">'Correlation Matrix'!$3:$3</definedName>
    <definedName function="false" hidden="false" localSheetId="13" name="_xlnm.Print_Titles" vbProcedure="false">'Descriptive Stats'!$3:$3</definedName>
    <definedName function="false" hidden="false" localSheetId="12" name="_xlnm.Print_Titles" vbProcedure="false">'Ratios Panel'!$4:$4</definedName>
    <definedName function="false" hidden="false" localSheetId="1" name="_xlnm.Print_Titles" vbProcedure="false">'Raw Data'!$4:$4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<sst xmlns="http://schemas.openxmlformats.org/spreadsheetml/2006/main" count="1435" uniqueCount="493">
  <si>
    <t xml:space="preserve">Capital Structure Analysis — Excel Workings</t>
  </si>
  <si>
    <t xml:space="preserve">Determinants and Impact of Capital Structure on Firm Performance: An Empirical Analysis of Textile &amp; Apparel Companies in India using CMIE Prowess Database / Screener.in</t>
  </si>
  <si>
    <t xml:space="preserve">Course</t>
  </si>
  <si>
    <t xml:space="preserve">SY Corporate Finance  |  Subject Teacher: Dr. Tessy Thadathil  |  Division D  |  Academic Year 2026–27</t>
  </si>
  <si>
    <t xml:space="preserve">Prepared by</t>
  </si>
  <si>
    <t xml:space="preserve">5804 Nikhilranjan Manishkumar Jha  ·  5821 Piyush Vilas Gharte  ·  5822 Chandan Pavan Tejnani  ·  5823 Prantik Mukherjee  ·  5871 Gravit Goyal</t>
  </si>
  <si>
    <t xml:space="preserve">Data collected by</t>
  </si>
  <si>
    <t xml:space="preserve">Chandan: KPR Mill, Welspun Living  |  Piyush: Indo Count, Vardhman  |  Nikhilranjan: Trident, Arvind  |  Prantik: Nitin Spinners, Sutlej  |  Gravit: Gokaldas, Siyaram  (two companies each)</t>
  </si>
  <si>
    <t xml:space="preserve">Code &amp; data (GitHub)</t>
  </si>
  <si>
    <t xml:space="preserve">https://github.com/tejnanichandan-ctrl/capital-structure-textiles-india</t>
  </si>
  <si>
    <t xml:space="preserve">Sample &amp; period</t>
  </si>
  <si>
    <t xml:space="preserve">10 NSE/BSE-listed textile &amp; apparel companies  |  FY2015-16 to FY2024-25 (100 firm-years)  |  Standalone figures</t>
  </si>
  <si>
    <t xml:space="preserve">Data source</t>
  </si>
  <si>
    <t xml:space="preserve">Screener.in (standardised BSE/NSE filings), spot-checked against CMIE Prowess; sector context from ET Wealth (Aug 2026)</t>
  </si>
  <si>
    <t xml:space="preserve">Workbook Guide</t>
  </si>
  <si>
    <t xml:space="preserve">Sheet</t>
  </si>
  <si>
    <t xml:space="preserve">What it contains</t>
  </si>
  <si>
    <t xml:space="preserve">Raw Data</t>
  </si>
  <si>
    <t xml:space="preserve">Screener.in figures (Rs crore), FY2014-15 to FY2024-25; FY2014-15 is used only as the base year for sales growth.</t>
  </si>
  <si>
    <t xml:space="preserve">10 company sheets</t>
  </si>
  <si>
    <t xml:space="preserve">Profile of each company and its 10-year ratios, with average and SD rows.</t>
  </si>
  <si>
    <t xml:space="preserve">Ratios Panel</t>
  </si>
  <si>
    <t xml:space="preserve">All 100 firm-years: D/E, ROE, ROA, EPS, Size, Sales Growth, Tangibility, Liquidity, COVID dummy, regression inputs.</t>
  </si>
  <si>
    <t xml:space="preserve">Descriptive Stats</t>
  </si>
  <si>
    <t xml:space="preserve">Mean, SD, min and max by company (report Table 5) and year-wise sector averages (Figure 2).</t>
  </si>
  <si>
    <t xml:space="preserve">Correlation Matrix</t>
  </si>
  <si>
    <t xml:space="preserve">Pearson correlations between all variables, including liquidity (report Table 6).</t>
  </si>
  <si>
    <t xml:space="preserve">Regression Output</t>
  </si>
  <si>
    <t xml:space="preserve">Live LINEST regressions: ROE model, ROA model and ROE model with COVID dummy (report Table 8).</t>
  </si>
  <si>
    <t xml:space="preserve">ET Wealth Link</t>
  </si>
  <si>
    <t xml:space="preserve">Article data, analyst ratings and a comparison of the three ET picks with the other seven companies (report Table 11, Figure 4).</t>
  </si>
  <si>
    <t xml:space="preserve">Theory Formulas</t>
  </si>
  <si>
    <t xml:space="preserve">Capital structure theory formulas (NI, NOI, Traditional, MM, Trade-off) with a worked example (report Table 1).</t>
  </si>
  <si>
    <t xml:space="preserve">Formulas Used</t>
  </si>
  <si>
    <t xml:space="preserve">Every Excel formula in this workbook, explained.</t>
  </si>
  <si>
    <t xml:space="preserve">Key Notes</t>
  </si>
  <si>
    <t xml:space="preserve">Liquidity measure</t>
  </si>
  <si>
    <t xml:space="preserve">Current Ratio proxy = Other Assets ÷ Other Liabilities. Screener.in groups current assets (inventory, receivables, cash) under Other Assets and non-debt current liabilities under Other Liabilities; short-term borrowings sit in Borrowings, so the proxy is higher than a textbook current ratio and is used for comparison only.</t>
  </si>
  <si>
    <t xml:space="preserve">COVID-19</t>
  </si>
  <si>
    <t xml:space="preserve">FY2019-20 and FY2020-21 are flagged with a dummy variable and controlled for in Regression Model 3.</t>
  </si>
  <si>
    <t xml:space="preserve">Sample note</t>
  </si>
  <si>
    <t xml:space="preserve">Raymond Ltd (named in the ET Wealth article) was excluded because its FY2024 demerger makes later ratios incomparable; Siyaram Silk Mills was substituted.</t>
  </si>
  <si>
    <t xml:space="preserve">Validation</t>
  </si>
  <si>
    <t xml:space="preserve">A sample of Screener.in figures was cross-checked against CMIE Prowess; differences appeared only at the second decimal place and do not change any ratio.</t>
  </si>
  <si>
    <t xml:space="preserve">Capital Structure Analysis — Raw Financial Data (Rs. Crores)</t>
  </si>
  <si>
    <t xml:space="preserve">Sector: Textiles &amp; Apparels (India, NSE/BSE-listed) | Sample: 10 companies | Source: Screener.in, standardized company financials (BSE/NSE filings). Screener.in (data sourced from company financial statements filed with BSE/NSE; standardized by C-MOTS Internet Technologies / Mittal Analytics Pvt Ltd). CMIE Prowess not directly accessible; Screener.in used as the substitute per agreed scope. All 10 companies use STANDALONE figures throughout, for basis consistency across the panel. Other Assets and Other Liabilities (columns M–N) were added from the same Screener.in standalone balance sheets for the liquidity measure; every overlapping figure was cross-checked against columns G–K.</t>
  </si>
  <si>
    <t xml:space="preserve">Company</t>
  </si>
  <si>
    <t xml:space="preserve">Basis</t>
  </si>
  <si>
    <t xml:space="preserve">FY Ending Mar</t>
  </si>
  <si>
    <t xml:space="preserve">Sales</t>
  </si>
  <si>
    <t xml:space="preserve">EBIT (Op. Profit)</t>
  </si>
  <si>
    <t xml:space="preserve">Net Profit</t>
  </si>
  <si>
    <t xml:space="preserve">Equity Capital</t>
  </si>
  <si>
    <t xml:space="preserve">Reserves &amp; Surplus</t>
  </si>
  <si>
    <t xml:space="preserve">Borrowings</t>
  </si>
  <si>
    <t xml:space="preserve">Total Assets</t>
  </si>
  <si>
    <t xml:space="preserve">Fixed Assets (+CWIP)</t>
  </si>
  <si>
    <t xml:space="preserve">EPS (Rs.)</t>
  </si>
  <si>
    <t xml:space="preserve">Other Assets</t>
  </si>
  <si>
    <t xml:space="preserve">Other Liabilities</t>
  </si>
  <si>
    <t xml:space="preserve">KPR Mill</t>
  </si>
  <si>
    <t xml:space="preserve">Standalone</t>
  </si>
  <si>
    <t xml:space="preserve">Welspun Living</t>
  </si>
  <si>
    <t xml:space="preserve">Indo Count Industries</t>
  </si>
  <si>
    <t xml:space="preserve">Vardhman Textiles</t>
  </si>
  <si>
    <t xml:space="preserve">Trident</t>
  </si>
  <si>
    <t xml:space="preserve">Arvind</t>
  </si>
  <si>
    <t xml:space="preserve">Nitin Spinners</t>
  </si>
  <si>
    <t xml:space="preserve">Sutlej Textiles</t>
  </si>
  <si>
    <t xml:space="preserve">Gokaldas Exports</t>
  </si>
  <si>
    <t xml:space="preserve">Siyaram Silk Mills</t>
  </si>
  <si>
    <t xml:space="preserve">Screener Ticker</t>
  </si>
  <si>
    <t xml:space="preserve">KPRMILL</t>
  </si>
  <si>
    <t xml:space="preserve">Primary Business</t>
  </si>
  <si>
    <t xml:space="preserve">Yarn, Fabric, Garments, Apparel — vertically integrated composite mill</t>
  </si>
  <si>
    <t xml:space="preserve">Year Established</t>
  </si>
  <si>
    <t xml:space="preserve">1984 (garment exports since 1989); incorporated as KPR Mill Ltd in 2003</t>
  </si>
  <si>
    <t xml:space="preserve">Headquarters</t>
  </si>
  <si>
    <t xml:space="preserve">Coimbatore, Tamil Nadu</t>
  </si>
  <si>
    <t xml:space="preserve">Promoter / Group</t>
  </si>
  <si>
    <t xml:space="preserve">K.P.R. Group — founder P. Nataraj and family</t>
  </si>
  <si>
    <t xml:space="preserve">Manufacturing Locations</t>
  </si>
  <si>
    <t xml:space="preserve">Sathyamangalam, Tirupur, Perundurai, Coimbatore (Tamil Nadu)</t>
  </si>
  <si>
    <t xml:space="preserve">Listed On</t>
  </si>
  <si>
    <t xml:space="preserve">NSE &amp; BSE (BSE code: 532889)</t>
  </si>
  <si>
    <t xml:space="preserve">Note</t>
  </si>
  <si>
    <t xml:space="preserve">Anchor company — featured in the source ET Wealth article</t>
  </si>
  <si>
    <t xml:space="preserve">10-Year Financials &amp; Computed Ratios (FY2015-16 to FY2024-25)</t>
  </si>
  <si>
    <t xml:space="preserve">FY</t>
  </si>
  <si>
    <t xml:space="preserve">EBIT</t>
  </si>
  <si>
    <t xml:space="preserve">Total Equity</t>
  </si>
  <si>
    <t xml:space="preserve">Fixed Assets</t>
  </si>
  <si>
    <t xml:space="preserve">D/E Ratio</t>
  </si>
  <si>
    <t xml:space="preserve">ROE</t>
  </si>
  <si>
    <t xml:space="preserve">ROA</t>
  </si>
  <si>
    <t xml:space="preserve">Size (ln TA)</t>
  </si>
  <si>
    <t xml:space="preserve">Sales Growth %</t>
  </si>
  <si>
    <t xml:space="preserve">Tangibility</t>
  </si>
  <si>
    <t xml:space="preserve">Liquidity (CR proxy)</t>
  </si>
  <si>
    <t xml:space="preserve">FY15-16</t>
  </si>
  <si>
    <t xml:space="preserve">FY16-17</t>
  </si>
  <si>
    <t xml:space="preserve">FY17-18</t>
  </si>
  <si>
    <t xml:space="preserve">FY18-19</t>
  </si>
  <si>
    <t xml:space="preserve">FY19-20</t>
  </si>
  <si>
    <t xml:space="preserve">FY20-21</t>
  </si>
  <si>
    <t xml:space="preserve">FY21-22</t>
  </si>
  <si>
    <t xml:space="preserve">FY22-23</t>
  </si>
  <si>
    <t xml:space="preserve">FY23-24</t>
  </si>
  <si>
    <t xml:space="preserve">FY24-25</t>
  </si>
  <si>
    <t xml:space="preserve">10-YR AVERAGE</t>
  </si>
  <si>
    <t xml:space="preserve">SD (10-yr)</t>
  </si>
  <si>
    <t xml:space="preserve">WELSPUNLIV</t>
  </si>
  <si>
    <t xml:space="preserve">Home Textiles (Towels, Bed Linen), Flooring</t>
  </si>
  <si>
    <t xml:space="preserve">1985 (as Welspun Winilon Silk Mills, Palghar)</t>
  </si>
  <si>
    <t xml:space="preserve">Mumbai, Maharashtra</t>
  </si>
  <si>
    <t xml:space="preserve">Welspun Group — founder Balkrishan Goenka</t>
  </si>
  <si>
    <t xml:space="preserve">Vapi &amp; Anjar (Gujarat)</t>
  </si>
  <si>
    <t xml:space="preserve">NSE &amp; BSE (BSE code: 514162)</t>
  </si>
  <si>
    <t xml:space="preserve">ICIL</t>
  </si>
  <si>
    <t xml:space="preserve">Home Textiles — Bed Linen (export-focused)</t>
  </si>
  <si>
    <t xml:space="preserve">1988</t>
  </si>
  <si>
    <t xml:space="preserve">Lohia family</t>
  </si>
  <si>
    <t xml:space="preserve">Kolhapur, Maharashtra</t>
  </si>
  <si>
    <t xml:space="preserve">NSE &amp; BSE</t>
  </si>
  <si>
    <t xml:space="preserve">VTL</t>
  </si>
  <si>
    <t xml:space="preserve">Yarn, Fabric, Acrylic Fibre, Garments — vertically integrated composite mill</t>
  </si>
  <si>
    <t xml:space="preserve">1962 (incorporated as Vardhman Spinning &amp; General Mills); yarn production commenced 1965</t>
  </si>
  <si>
    <t xml:space="preserve">Ludhiana, Punjab</t>
  </si>
  <si>
    <t xml:space="preserve">Vardhman Group — Oswal family (founder Lala Rattan Chand Oswal; current Chairman S.P. Oswal)</t>
  </si>
  <si>
    <t xml:space="preserve">22 units across 6 states, incl. Punjab, Himachal Pradesh, Madhya Pradesh</t>
  </si>
  <si>
    <t xml:space="preserve">TRIDENT</t>
  </si>
  <si>
    <t xml:space="preserve">Yarn, Terry Towels, Bed Sheets — vertically integrated composite mill</t>
  </si>
  <si>
    <t xml:space="preserve">1990 (as Abhishek Industries Ltd; renamed Trident Ltd in 2011)</t>
  </si>
  <si>
    <t xml:space="preserve">Ludhiana, Punjab (registered office)</t>
  </si>
  <si>
    <t xml:space="preserve">Trident Group — founder Rajinder Gupta</t>
  </si>
  <si>
    <t xml:space="preserve">Barnala (Punjab) and Budhni (Madhya Pradesh)</t>
  </si>
  <si>
    <t xml:space="preserve">ARVIND</t>
  </si>
  <si>
    <t xml:space="preserve">Denim, Woven Fabrics, Garments</t>
  </si>
  <si>
    <t xml:space="preserve">1931</t>
  </si>
  <si>
    <t xml:space="preserve">Ahmedabad, Gujarat</t>
  </si>
  <si>
    <t xml:space="preserve">Lalbhai Group — founder Kasturbhai Lalbhai (current Chairman: Sanjay Lalbhai)</t>
  </si>
  <si>
    <t xml:space="preserve">Naroda &amp; Santej (near Ahmedabad, Gujarat)</t>
  </si>
  <si>
    <t xml:space="preserve">NSE &amp; BSE (BSE code: 500101)</t>
  </si>
  <si>
    <t xml:space="preserve">NITINSPIN</t>
  </si>
  <si>
    <t xml:space="preserve">Cotton Yarn, Knitted &amp; Woven Fabric — spinning specialist</t>
  </si>
  <si>
    <t xml:space="preserve">1992</t>
  </si>
  <si>
    <t xml:space="preserve">Bhilwara, Rajasthan (the 'Textile City of India')</t>
  </si>
  <si>
    <t xml:space="preserve">Nolkha family</t>
  </si>
  <si>
    <t xml:space="preserve">Hamirgarh (Bhilwara) and Begun (Chittorgarh), Rajasthan</t>
  </si>
  <si>
    <t xml:space="preserve">NSE &amp; BSE (BSE code: 532698)</t>
  </si>
  <si>
    <t xml:space="preserve">SUTLEJTEX</t>
  </si>
  <si>
    <t xml:space="preserve">Yarn, Home Textiles — spinning specialist</t>
  </si>
  <si>
    <t xml:space="preserve">Current entity incorporated 2005 (demerger); heritage traces to Sutlej Cotton Mills, 1934</t>
  </si>
  <si>
    <t xml:space="preserve">Registered office: Jaipur, Rajasthan</t>
  </si>
  <si>
    <t xml:space="preserve">KK Birla Group — founder Dr. Krishna Kumar Birla</t>
  </si>
  <si>
    <t xml:space="preserve">Bhawanimandi (Rajasthan), Baddi (Himachal Pradesh), Kathua (J&amp;K), Bhillad (Gujarat)</t>
  </si>
  <si>
    <t xml:space="preserve">GOKEX</t>
  </si>
  <si>
    <t xml:space="preserve">Apparel / Garment Exports</t>
  </si>
  <si>
    <t xml:space="preserve">1979</t>
  </si>
  <si>
    <t xml:space="preserve">Bengaluru, Karnataka</t>
  </si>
  <si>
    <t xml:space="preserve">Founded by Jhamandas Hinduja; Blackstone Group has held majority stake since 2007</t>
  </si>
  <si>
    <t xml:space="preserve">Bengaluru region, Karnataka; also Kenya and Ethiopia</t>
  </si>
  <si>
    <t xml:space="preserve">SIYSIL</t>
  </si>
  <si>
    <t xml:space="preserve">Fabrics, Readymade Garments (Menswear) — branded player</t>
  </si>
  <si>
    <t xml:space="preserve">1978</t>
  </si>
  <si>
    <t xml:space="preserve">Mumbai, Maharashtra (registered plant: Tarapur, Maharashtra)</t>
  </si>
  <si>
    <t xml:space="preserve">Poddar family (Chairman &amp; MD: Ramesh Poddar)</t>
  </si>
  <si>
    <t xml:space="preserve">Tarapur, Daman, Amravati, Silvassa</t>
  </si>
  <si>
    <t xml:space="preserve">NSE &amp; BSE (BSE code: 503811)</t>
  </si>
  <si>
    <t xml:space="preserve">Substituted for Raymond Ltd (see Cover &amp; Notes for rationale)</t>
  </si>
  <si>
    <t xml:space="preserve">Computed Capital Structure &amp; Performance Ratios — FY2015-16 to FY2024-25 (Panel of 100 firm-years)</t>
  </si>
  <si>
    <t xml:space="preserve">Total Equity = Equity Capital + Reserves  |  D/E = Borrowings / Total Equity  |  ROE = Net Profit / Total Equity  |  ROA = Net Profit / Total Assets  |  EPS = Net Profit / Shares Outstanding (as reported by Screener.in, split-adjusted)  |  Size = LN(Total Assets)  |  Sales Growth = (Salest - Salest-1)/Salest-1  |  Tangibility = Fixed Assets / Total Assets  |  Liquidity (Current Ratio proxy) = Other Assets / Other Liabilities  |  COVID dummy = 1 for FY19-20 and FY20-21, else 0</t>
  </si>
  <si>
    <t xml:space="preserve">Regression inputs — X variables placed side by side so LINEST can use them (Regression Output sheet)</t>
  </si>
  <si>
    <t xml:space="preserve">Liquidity (Current Ratio proxy)</t>
  </si>
  <si>
    <t xml:space="preserve">COVID dummy (FY19-20, FY20-21 = 1)</t>
  </si>
  <si>
    <t xml:space="preserve">X1: D/E</t>
  </si>
  <si>
    <t xml:space="preserve">X2: Size</t>
  </si>
  <si>
    <t xml:space="preserve">X3: Sales Growth</t>
  </si>
  <si>
    <t xml:space="preserve">X4: Tangibility</t>
  </si>
  <si>
    <t xml:space="preserve">X5: COVID dummy</t>
  </si>
  <si>
    <t xml:space="preserve">Descriptive Statistics — by Company (FY2015-16 to FY2024-25, N=10 years each)</t>
  </si>
  <si>
    <t xml:space="preserve">Mean D/E</t>
  </si>
  <si>
    <t xml:space="preserve">SD D/E</t>
  </si>
  <si>
    <t xml:space="preserve">Min D/E</t>
  </si>
  <si>
    <t xml:space="preserve">Max D/E</t>
  </si>
  <si>
    <t xml:space="preserve">Mean ROE</t>
  </si>
  <si>
    <t xml:space="preserve">Mean ROA</t>
  </si>
  <si>
    <t xml:space="preserve">Mean EPS (Rs.)</t>
  </si>
  <si>
    <t xml:space="preserve">Mean Sales Growth</t>
  </si>
  <si>
    <t xml:space="preserve">Mean Tangibility</t>
  </si>
  <si>
    <t xml:space="preserve">Mean Size (ln TA)</t>
  </si>
  <si>
    <t xml:space="preserve">Mean Liquidity (CR proxy)</t>
  </si>
  <si>
    <t xml:space="preserve">POOLED (all 100 firm-years)</t>
  </si>
  <si>
    <t xml:space="preserve">Year-wise Trend (pooled across 10 companies)</t>
  </si>
  <si>
    <t xml:space="preserve">Correlation Matrix — Pooled Panel (100 firm-years)</t>
  </si>
  <si>
    <t xml:space="preserve">D/E</t>
  </si>
  <si>
    <t xml:space="preserve">EPS</t>
  </si>
  <si>
    <t xml:space="preserve">Sales Growth</t>
  </si>
  <si>
    <t xml:space="preserve">Liquidity</t>
  </si>
  <si>
    <t xml:space="preserve">Interpretation: Negative correlation between D/E and ROE/ROA/EPS indicates that more highly levered textile firms in the sample tend to report lower profitability — consistent with Pecking Order Theory (profitable firms rely first on internal accruals, borrowing only when internal funds are insufficient).</t>
  </si>
  <si>
    <t xml:space="preserve">Significance: with n = 100, |r| &gt; 0.197 is significant at the 5% level (two-tailed).</t>
  </si>
  <si>
    <t xml:space="preserve">Regression Analysis — Pooled OLS, 100 firm-years (live Excel LINEST formulas)</t>
  </si>
  <si>
    <t xml:space="preserve">Model specified in the assignment: ROE = β0 + β1(D/E) + β2(Size) + β3(Growth) + β4(Tangibility) + ε. Every figure below is a live formula: LINEST fits the model on the Ratios Panel (Y = ROE or ROA; X = columns S–V, plus W for the COVID dummy). t = coefficient ÷ standard error; p-value = TDIST(|t|, residual df, 2). ** = significant at 1%, * = at 5%.</t>
  </si>
  <si>
    <t xml:space="preserve">Model 1: ROE as dependent variable (assignment model)</t>
  </si>
  <si>
    <t xml:space="preserve">Variable</t>
  </si>
  <si>
    <t xml:space="preserve">Coefficient</t>
  </si>
  <si>
    <t xml:space="preserve">Std. Error</t>
  </si>
  <si>
    <t xml:space="preserve">t-Statistic</t>
  </si>
  <si>
    <t xml:space="preserve">p-value</t>
  </si>
  <si>
    <t xml:space="preserve">Significant at 5%?</t>
  </si>
  <si>
    <t xml:space="preserve">Intercept (β0)</t>
  </si>
  <si>
    <t xml:space="preserve">D/E Ratio (β1)</t>
  </si>
  <si>
    <t xml:space="preserve">Size — ln(Total Assets) (β2)</t>
  </si>
  <si>
    <t xml:space="preserve">Sales Growth (β3)</t>
  </si>
  <si>
    <t xml:space="preserve">Tangibility (β4)</t>
  </si>
  <si>
    <t xml:space="preserve">R-squared</t>
  </si>
  <si>
    <t xml:space="preserve">Adjusted R-squared</t>
  </si>
  <si>
    <t xml:space="preserve">F-statistic</t>
  </si>
  <si>
    <t xml:space="preserve">Residual degrees of freedom</t>
  </si>
  <si>
    <t xml:space="preserve">Number of observations (n)</t>
  </si>
  <si>
    <t xml:space="preserve">Prob (F-statistic)</t>
  </si>
  <si>
    <t xml:space="preserve">Model 2 (robustness): ROA as dependent variable</t>
  </si>
  <si>
    <t xml:space="preserve">Model 3 (COVID control): ROE with a COVID-19 dummy (FY19-20, FY20-21 = 1)</t>
  </si>
  <si>
    <t xml:space="preserve">COVID dummy (β5)</t>
  </si>
  <si>
    <t xml:space="preserve">Reading: the D/E coefficient is negative and significant in all three models. The COVID dummy is not significant, and adding it leaves the D/E coefficient virtually unchanged, so the COVID years do not drive the result. Results match the R cross-check to four decimal places.</t>
  </si>
  <si>
    <t xml:space="preserve">ET Wealth Article Link — 'Textile stocks weave a comeback' (Bhardwaj, 2026)</t>
  </si>
  <si>
    <t xml:space="preserve">Source: Sameer Bhardwaj, 'Textile stocks weave a comeback: Trade deals and sourcing shift from China are reviving the sector that investors had written off', The Economic Times Wealth, August 2026. BLUE figures are typed in from the article (taken as reported, not independently verified). GREEN figures link to other sheets; BLACK figures are formulas on this sheet. Stocks mentioned in the article are not investment recommendations. Used in report Sections 1.2 and 5.5.</t>
  </si>
  <si>
    <t xml:space="preserve">A. Sector context reported in the article</t>
  </si>
  <si>
    <t xml:space="preserve">Item</t>
  </si>
  <si>
    <t xml:space="preserve">Value</t>
  </si>
  <si>
    <t xml:space="preserve">Unit</t>
  </si>
  <si>
    <t xml:space="preserve">Source cited in the article</t>
  </si>
  <si>
    <t xml:space="preserve">Indian textile &amp; apparel market, 2025-26</t>
  </si>
  <si>
    <t xml:space="preserve">US$ billion</t>
  </si>
  <si>
    <t xml:space="preserve">Press Information Bureau release, June 2026</t>
  </si>
  <si>
    <t xml:space="preserve">Projected market size, 2030</t>
  </si>
  <si>
    <t xml:space="preserve">Projected growth multiple, 2025-26 to 2030</t>
  </si>
  <si>
    <t xml:space="preserve">times</t>
  </si>
  <si>
    <t xml:space="preserve">Formula: 2030 size ÷ 2025-26 size</t>
  </si>
  <si>
    <t xml:space="preserve">Equal-weighted return, 65 listed textile stocks (mkt cap &gt; ₹500 cr), 2026 to 10 Aug</t>
  </si>
  <si>
    <t xml:space="preserve">%</t>
  </si>
  <si>
    <t xml:space="preserve">Article's own analysis</t>
  </si>
  <si>
    <t xml:space="preserve">Nifty 500 Equal Weight Index return, same period</t>
  </si>
  <si>
    <t xml:space="preserve">Textile stocks' outperformance</t>
  </si>
  <si>
    <t xml:space="preserve">% points</t>
  </si>
  <si>
    <t xml:space="preserve">Formula: textile return − index return</t>
  </si>
  <si>
    <t xml:space="preserve">Textile stocks that outperformed the benchmark</t>
  </si>
  <si>
    <t xml:space="preserve">of 65</t>
  </si>
  <si>
    <t xml:space="preserve">Share of textile stocks outperforming</t>
  </si>
  <si>
    <t xml:space="preserve">Formula: 39 ÷ 65</t>
  </si>
  <si>
    <t xml:space="preserve">India's cotton output, 2025-26 (world's 2nd largest producer)</t>
  </si>
  <si>
    <t xml:space="preserve">million tonnes (approx.)</t>
  </si>
  <si>
    <t xml:space="preserve">Article</t>
  </si>
  <si>
    <t xml:space="preserve">India's spinning capacity (world's 2nd largest)</t>
  </si>
  <si>
    <t xml:space="preserve">million spindles (approx.)</t>
  </si>
  <si>
    <t xml:space="preserve">Motilal Oswal</t>
  </si>
  <si>
    <t xml:space="preserve">B. Share of Indian textile &amp; apparel exports by destination, 2025-26 (Source: 360 One Capital, as cited in the article)</t>
  </si>
  <si>
    <t xml:space="preserve">Destination</t>
  </si>
  <si>
    <t xml:space="preserve">Share of exports</t>
  </si>
  <si>
    <t xml:space="preserve">USA</t>
  </si>
  <si>
    <t xml:space="preserve">European Union</t>
  </si>
  <si>
    <t xml:space="preserve">UK</t>
  </si>
  <si>
    <t xml:space="preserve">UAE</t>
  </si>
  <si>
    <t xml:space="preserve">Others</t>
  </si>
  <si>
    <t xml:space="preserve">Total (check)</t>
  </si>
  <si>
    <t xml:space="preserve">Sums to 100.1% because the article's shares are rounded.</t>
  </si>
  <si>
    <t xml:space="preserve">USA + EU combined</t>
  </si>
  <si>
    <t xml:space="preserve">C. Analyst recommendations on the article's three picks (Source: Bloomberg, as on 10 August 2026)</t>
  </si>
  <si>
    <t xml:space="preserve">Buy</t>
  </si>
  <si>
    <t xml:space="preserve">Hold</t>
  </si>
  <si>
    <t xml:space="preserve">Sell</t>
  </si>
  <si>
    <t xml:space="preserve">Total ratings</t>
  </si>
  <si>
    <t xml:space="preserve">% Buy</t>
  </si>
  <si>
    <t xml:space="preserve">Share price (₹)</t>
  </si>
  <si>
    <t xml:space="preserve">Revenue growth, June 2026 qtr (YoY)</t>
  </si>
  <si>
    <t xml:space="preserve">Article highlight</t>
  </si>
  <si>
    <t xml:space="preserve">Branded apparel expansion; upcoming Odisha garmenting facility</t>
  </si>
  <si>
    <t xml:space="preserve">Ties with major US retailers; gains from UK/EU FTAs (growth is consolidated)</t>
  </si>
  <si>
    <t xml:space="preserve">Leader in bed-linen exports to USA; capacity allows growth without big capex</t>
  </si>
  <si>
    <t xml:space="preserve">Quarterly revenue growth is partly consolidated and is NOT comparable with this study's annual standalone data.</t>
  </si>
  <si>
    <t xml:space="preserve">D. Capital structure evidence for the three picks (live formulas from Descriptive Stats and Ratios Panel)</t>
  </si>
  <si>
    <t xml:space="preserve">D/E rank (1 = lowest of 10)</t>
  </si>
  <si>
    <t xml:space="preserve">D/E FY15-16</t>
  </si>
  <si>
    <t xml:space="preserve">D/E FY24-25</t>
  </si>
  <si>
    <t xml:space="preserve">Change in D/E</t>
  </si>
  <si>
    <t xml:space="preserve">ROE rank (1 = highest of 10)</t>
  </si>
  <si>
    <t xml:space="preserve">SD of D/E</t>
  </si>
  <si>
    <t xml:space="preserve">E. ET Wealth picks vs. the other seven sample companies (pooled firm-years)</t>
  </si>
  <si>
    <t xml:space="preserve">Group</t>
  </si>
  <si>
    <t xml:space="preserve">Firm-years (n)</t>
  </si>
  <si>
    <t xml:space="preserve">ET Wealth picks (3 companies)</t>
  </si>
  <si>
    <t xml:space="preserve">Other seven companies</t>
  </si>
  <si>
    <t xml:space="preserve">Pooled sample (10 companies)</t>
  </si>
  <si>
    <t xml:space="preserve">Difference (picks − others)</t>
  </si>
  <si>
    <t xml:space="preserve">F. Welch two-sample t-test: is the difference statistically significant?</t>
  </si>
  <si>
    <t xml:space="preserve">Mean — picks</t>
  </si>
  <si>
    <t xml:space="preserve">Mean — others</t>
  </si>
  <si>
    <t xml:space="preserve">Variance — picks</t>
  </si>
  <si>
    <t xml:space="preserve">Variance — others</t>
  </si>
  <si>
    <t xml:space="preserve">t-statistic (picks − others)</t>
  </si>
  <si>
    <t xml:space="preserve">Welch df</t>
  </si>
  <si>
    <t xml:space="preserve">p-value (two-tailed)</t>
  </si>
  <si>
    <t xml:space="preserve">D/E ratio</t>
  </si>
  <si>
    <t xml:space="preserve">Welch's test does not assume equal variances. TDIST rounds the degrees of freedom down to a whole number, so p-values can differ very slightly from statistical software. Caution: the picks are only 3 companies and firm-years from the same company are not independent, so treat these tests as supporting evidence rather than proof.</t>
  </si>
  <si>
    <t xml:space="preserve">G. Interpretation (see report Section 5.5)</t>
  </si>
  <si>
    <t xml:space="preserve">Lowest mean D/E and highest mean ROE in the sample; D/E cut to near zero by FY24-25. Classic Pecking Order behaviour: growth funded from retained earnings, leaving debt capacity for the Odisha facility and branded-apparel expansion.</t>
  </si>
  <si>
    <t xml:space="preserve">Second-highest ROE with below-average, very stable leverage (lowest SD of D/E in the sample). Spare capacity means little need for new debt.</t>
  </si>
  <si>
    <t xml:space="preserve">Mean D/E slightly above the pooled average and ROE only modestly above average, but the largest deleveraging of the three (D/E down about two-thirds). The optimism rests on its improved balance sheet and FTA-exposed US/UK/EU retail ties.</t>
  </si>
  <si>
    <t xml:space="preserve">Overall</t>
  </si>
  <si>
    <t xml:space="preserve">As a group the picks are less levered and more profitable than the other seven firms (Sections E–F), consistent with the report's regression finding that higher D/E goes with lower ROE — balance-sheet support for the article's optimism.</t>
  </si>
  <si>
    <t xml:space="preserve">Capital Structure Theories — Key Formulas</t>
  </si>
  <si>
    <t xml:space="preserve">Symbols: EBIT = earnings before interest &amp; tax; I = interest (= Kd × D); t = tax rate; D = value of debt; S (or E) = value of equity; V = S + D; Ke = cost of equity; Kd = cost of debt; Ko = overall cost of capital (WACC); Vu / VL = value of unlevered / levered firm.</t>
  </si>
  <si>
    <t xml:space="preserve">Theory</t>
  </si>
  <si>
    <t xml:space="preserve">Key formula(s)</t>
  </si>
  <si>
    <t xml:space="preserve">What it says about debt</t>
  </si>
  <si>
    <t xml:space="preserve">Relevance?</t>
  </si>
  <si>
    <t xml:space="preserve">Net Income (NI) Approach</t>
  </si>
  <si>
    <t xml:space="preserve">S = (EBIT − I) ÷ Ke
V = S + D
Ko = EBIT ÷ V</t>
  </si>
  <si>
    <t xml:space="preserve">Ke and Kd stay constant, so more (cheaper) debt lowers Ko and raises V.</t>
  </si>
  <si>
    <t xml:space="preserve">Relevant</t>
  </si>
  <si>
    <t xml:space="preserve">Net Operating Income (NOI) Approach</t>
  </si>
  <si>
    <t xml:space="preserve">V = EBIT ÷ Ko
S = V − D
Ke = (EBIT − I) ÷ S</t>
  </si>
  <si>
    <t xml:space="preserve">Ko stays constant; Ke rises with debt, so V does not change.</t>
  </si>
  <si>
    <t xml:space="preserve">Irrelevant</t>
  </si>
  <si>
    <t xml:space="preserve">Traditional Approach</t>
  </si>
  <si>
    <t xml:space="preserve">Ko = Ke × (S ÷ V) + Kd × (D ÷ V)</t>
  </si>
  <si>
    <t xml:space="preserve">Moderate debt first lowers Ko; beyond a point Ke and Kd rise. Optimal structure = where Ko is minimum.</t>
  </si>
  <si>
    <t xml:space="preserve">Relevant (optimum exists)</t>
  </si>
  <si>
    <t xml:space="preserve">MM Approach — without taxes</t>
  </si>
  <si>
    <t xml:space="preserve">Prop. I:  VL = Vu = EBIT ÷ Ko
Prop. II: Ke = Ko + (Ko − Kd) × D ÷ S</t>
  </si>
  <si>
    <t xml:space="preserve">Value is independent of debt; arbitrage keeps VL = Vu.</t>
  </si>
  <si>
    <t xml:space="preserve">MM Approach — with taxes</t>
  </si>
  <si>
    <t xml:space="preserve">Vu = EBIT × (1 − t) ÷ Ke(u)
VL = Vu + D × t
Ke(L) = Ke(u) + (Ke(u) − Kd) × (1 − t) × D ÷ S
Ko = Ke × S ÷ V + Kd × (1 − t) × D ÷ V</t>
  </si>
  <si>
    <t xml:space="preserve">Interest is tax-deductible, so each rupee of debt adds a tax shield (D × t) to firm value.</t>
  </si>
  <si>
    <t xml:space="preserve">Relevant (favours debt)</t>
  </si>
  <si>
    <t xml:space="preserve">Trade-off Theory</t>
  </si>
  <si>
    <t xml:space="preserve">VL = Vu + PV of tax shield − PV of financial distress costs</t>
  </si>
  <si>
    <t xml:space="preserve">Borrow until the extra tax saving equals the extra expected cost of distress.</t>
  </si>
  <si>
    <t xml:space="preserve">Pecking Order Theory</t>
  </si>
  <si>
    <t xml:space="preserve">No formula (conceptual)</t>
  </si>
  <si>
    <t xml:space="preserve">Order of financing: retained earnings → debt → new equity. Profitable firms need less debt.</t>
  </si>
  <si>
    <t xml:space="preserve">Behavioural</t>
  </si>
  <si>
    <t xml:space="preserve">Agency Theory</t>
  </si>
  <si>
    <t xml:space="preserve">Debt disciplines managers by committing free cash flow to interest; too much debt creates shareholder–lender conflict.</t>
  </si>
  <si>
    <t xml:space="preserve">Worked example — Welspun Living, FY2024-25 (EBIT and debt from Raw Data; rates are ASSUMED for illustration, in blue)</t>
  </si>
  <si>
    <t xml:space="preserve">EBIT (Operating Profit), Rs cr</t>
  </si>
  <si>
    <t xml:space="preserve">Debt (Borrowings), D, Rs cr</t>
  </si>
  <si>
    <t xml:space="preserve">Cost of debt, Kd (assumed)</t>
  </si>
  <si>
    <t xml:space="preserve">Cost of equity for NI approach, Ke (assumed)</t>
  </si>
  <si>
    <t xml:space="preserve">Overall cost of capital / Ke of unlevered firm, Ko (assumed)</t>
  </si>
  <si>
    <t xml:space="preserve">Corporate tax rate, t (Sec. 115BAA effective rate)</t>
  </si>
  <si>
    <t xml:space="preserve">PV of financial distress costs, Rs cr (assumed)</t>
  </si>
  <si>
    <t xml:space="preserve">Approach</t>
  </si>
  <si>
    <t xml:space="preserve">Calculation</t>
  </si>
  <si>
    <t xml:space="preserve">Result</t>
  </si>
  <si>
    <t xml:space="preserve">Formula used</t>
  </si>
  <si>
    <t xml:space="preserve">Common</t>
  </si>
  <si>
    <t xml:space="preserve">Interest, I = Kd × D</t>
  </si>
  <si>
    <t xml:space="preserve">I = Kd × D</t>
  </si>
  <si>
    <t xml:space="preserve">NI Approach</t>
  </si>
  <si>
    <t xml:space="preserve">Value of equity, S</t>
  </si>
  <si>
    <t xml:space="preserve">S = (EBIT − I) ÷ Ke</t>
  </si>
  <si>
    <t xml:space="preserve">Value of firm, V</t>
  </si>
  <si>
    <t xml:space="preserve">V = S + D</t>
  </si>
  <si>
    <t xml:space="preserve">Overall cost of capital, Ko</t>
  </si>
  <si>
    <t xml:space="preserve">Ko = EBIT ÷ V</t>
  </si>
  <si>
    <t xml:space="preserve">NOI Approach</t>
  </si>
  <si>
    <t xml:space="preserve">V = EBIT ÷ Ko</t>
  </si>
  <si>
    <t xml:space="preserve">S = V − D</t>
  </si>
  <si>
    <t xml:space="preserve">Cost of equity, Ke</t>
  </si>
  <si>
    <t xml:space="preserve">Ke = (EBIT − I) ÷ S</t>
  </si>
  <si>
    <t xml:space="preserve">MM (no tax), Prop. II</t>
  </si>
  <si>
    <t xml:space="preserve">Ke check</t>
  </si>
  <si>
    <t xml:space="preserve">Ke = Ko + (Ko − Kd) × D ÷ S  (= NOI result)</t>
  </si>
  <si>
    <t xml:space="preserve">MM (with tax)</t>
  </si>
  <si>
    <t xml:space="preserve">Value of unlevered firm, Vu</t>
  </si>
  <si>
    <t xml:space="preserve">Vu = EBIT(1 − t) ÷ Ke(u)</t>
  </si>
  <si>
    <t xml:space="preserve">Tax shield, D × t</t>
  </si>
  <si>
    <t xml:space="preserve">D × t</t>
  </si>
  <si>
    <t xml:space="preserve">Value of levered firm, VL</t>
  </si>
  <si>
    <t xml:space="preserve">VL = Vu + D × t</t>
  </si>
  <si>
    <t xml:space="preserve">S = VL − D</t>
  </si>
  <si>
    <t xml:space="preserve">Cost of equity, Ke(L)</t>
  </si>
  <si>
    <t xml:space="preserve">Ke(L) = Ke(u) + (Ke(u) − Kd)(1 − t) × D ÷ S</t>
  </si>
  <si>
    <t xml:space="preserve">WACC, Ko</t>
  </si>
  <si>
    <t xml:space="preserve">Ko = Ke × S ÷ V + Kd(1 − t) × D ÷ V</t>
  </si>
  <si>
    <t xml:space="preserve">Trade-off</t>
  </si>
  <si>
    <t xml:space="preserve">VL = Vu + PV tax shield − PV distress costs</t>
  </si>
  <si>
    <t xml:space="preserve">Checks: the NOI cost of equity equals MM Proposition II (no tax); with taxes, WACC = EBIT(1 − t) ÷ VL, and it is lower than Ko because of the tax shield. Pecking Order and Agency Theory are conceptual and have no formula; they are tested against the data in the report instead (Section 7).</t>
  </si>
  <si>
    <t xml:space="preserve">Formulas Used in This Workbook</t>
  </si>
  <si>
    <t xml:space="preserve">Every ratio and statistic below is a live Excel formula, not a typed-in number — open any cell in Ratios Panel, Descriptive Stats, Correlation Matrix or a company sheet and the formula bar will show exactly this. Cell references below are illustrative (row 5 of Ratios Panel); the same formula pattern repeats down all 100 rows.</t>
  </si>
  <si>
    <t xml:space="preserve">1. Core Ratios — Ratios Panel sheet (row 5 = KPR Mill, FY2015-16)</t>
  </si>
  <si>
    <t xml:space="preserve">Definition</t>
  </si>
  <si>
    <t xml:space="preserve">Excel Formula (as used in this workbook)</t>
  </si>
  <si>
    <t xml:space="preserve">Where to find it</t>
  </si>
  <si>
    <t xml:space="preserve">Equity Capital + Reserves &amp; Surplus</t>
  </si>
  <si>
    <t xml:space="preserve">='Raw Data'!G5+'Raw Data'!H5</t>
  </si>
  <si>
    <t xml:space="preserve">Ratios Panel, column F</t>
  </si>
  <si>
    <t xml:space="preserve">Borrowings ÷ Total Equity</t>
  </si>
  <si>
    <t xml:space="preserve">=G5/F5</t>
  </si>
  <si>
    <t xml:space="preserve">Ratios Panel, column J</t>
  </si>
  <si>
    <t xml:space="preserve">Net Profit ÷ Total Equity</t>
  </si>
  <si>
    <t xml:space="preserve">=E5/F5</t>
  </si>
  <si>
    <t xml:space="preserve">Ratios Panel, column K</t>
  </si>
  <si>
    <t xml:space="preserve">Net Profit ÷ Total Assets</t>
  </si>
  <si>
    <t xml:space="preserve">=E5/H5</t>
  </si>
  <si>
    <t xml:space="preserve">Ratios Panel, column L</t>
  </si>
  <si>
    <t xml:space="preserve">Size</t>
  </si>
  <si>
    <t xml:space="preserve">LN(Total Assets)</t>
  </si>
  <si>
    <t xml:space="preserve">=LN(H5)</t>
  </si>
  <si>
    <t xml:space="preserve">Ratios Panel, column M</t>
  </si>
  <si>
    <t xml:space="preserve">(Sales this year − Sales last year) ÷ Sales last year</t>
  </si>
  <si>
    <t xml:space="preserve">=(C5-'Raw Data'!D4)/'Raw Data'!D4</t>
  </si>
  <si>
    <t xml:space="preserve">Ratios Panel, column N</t>
  </si>
  <si>
    <t xml:space="preserve">Fixed Assets ÷ Total Assets</t>
  </si>
  <si>
    <t xml:space="preserve">=I5/H5</t>
  </si>
  <si>
    <t xml:space="preserve">Ratios Panel, column O</t>
  </si>
  <si>
    <t xml:space="preserve">As reported by Screener.in (split-adjusted); not derived within the workbook</t>
  </si>
  <si>
    <t xml:space="preserve">='Raw Data'!L5</t>
  </si>
  <si>
    <t xml:space="preserve">Ratios Panel, column P</t>
  </si>
  <si>
    <t xml:space="preserve">2. Descriptive Statistics — by company (Descriptive Stats sheet)</t>
  </si>
  <si>
    <t xml:space="preserve">Mean D/E (per company)</t>
  </si>
  <si>
    <t xml:space="preserve">Average D/E across that company's 10 years</t>
  </si>
  <si>
    <t xml:space="preserve">=AVERAGEIF('Ratios Panel'!$A$5:$A$104,A5,'Ratios Panel'!$J$5:$J$104)</t>
  </si>
  <si>
    <t xml:space="preserve">Descriptive Stats, column B</t>
  </si>
  <si>
    <t xml:space="preserve">SD D/E (per company)</t>
  </si>
  <si>
    <t xml:space="preserve">Standard deviation of D/E across that company's 10 years</t>
  </si>
  <si>
    <t xml:space="preserve">=SQRT(SUMPRODUCT(('Ratios Panel'!$A$5:$A$104=A5)*('Ratios Panel'!$J$5:$J$104-B5)^2)/(COUNTIF('Ratios Panel'!$A$5:$A$104,A5)-1))</t>
  </si>
  <si>
    <t xml:space="preserve">Descriptive Stats, column C</t>
  </si>
  <si>
    <t xml:space="preserve">Min / Max D/E</t>
  </si>
  <si>
    <t xml:space="preserve">Lowest / highest D/E for that company across its 10 years</t>
  </si>
  <si>
    <t xml:space="preserve">=MINIFS('Ratios Panel'!$J$5:$J$104,'Ratios Panel'!$A$5:$A$104,A5)</t>
  </si>
  <si>
    <t xml:space="preserve">Descriptive Stats, columns D &amp; E</t>
  </si>
  <si>
    <t xml:space="preserve">Pooled Mean / SD / Min / Max</t>
  </si>
  <si>
    <t xml:space="preserve">Same statistic across all 100 firm-years at once</t>
  </si>
  <si>
    <t xml:space="preserve">=AVERAGE('Ratios Panel'!$J$5:$J$104)  (and STDEV / MIN / MAX)</t>
  </si>
  <si>
    <t xml:space="preserve">Descriptive Stats, POOLED row</t>
  </si>
  <si>
    <t xml:space="preserve">3. Correlation Matrix</t>
  </si>
  <si>
    <t xml:space="preserve">Pearson correlation</t>
  </si>
  <si>
    <t xml:space="preserve">Correlation between any two variables across all 100 firm-years, e.g. D/E and ROE</t>
  </si>
  <si>
    <t xml:space="preserve">=CORREL('Ratios Panel'!$J$5:$J$104,'Ratios Panel'!$K$5:$K$104)</t>
  </si>
  <si>
    <t xml:space="preserve">Correlation Matrix, each cell</t>
  </si>
  <si>
    <t xml:space="preserve">4. Company Sheets (e.g. 'KPR Mill' sheet) — same pattern as Ratios Panel, self-contained</t>
  </si>
  <si>
    <t xml:space="preserve">D/E, ROE, ROA, Size, Growth, Tangibility</t>
  </si>
  <si>
    <t xml:space="preserve">Identical formulas to Section 1 above, but referencing only that company's own 10 rows on its own sheet</t>
  </si>
  <si>
    <t xml:space="preserve">e.g. =F10/E10  (Total Equity in col F, Borrowings in col G on that sheet)</t>
  </si>
  <si>
    <t xml:space="preserve">Each company sheet, its own ratio table</t>
  </si>
  <si>
    <t xml:space="preserve">10-Yr Average row</t>
  </si>
  <si>
    <t xml:space="preserve">Mean of each ratio across that company's own 10 years</t>
  </si>
  <si>
    <t xml:space="preserve">=AVERAGE(J5:J14)</t>
  </si>
  <si>
    <t xml:space="preserve">Bottom of each company sheet</t>
  </si>
  <si>
    <t xml:space="preserve">SD (10-yr) row</t>
  </si>
  <si>
    <t xml:space="preserve">Standard deviation of D/E, ROE, ROA and EPS for that one company</t>
  </si>
  <si>
    <t xml:space="preserve">=STDEV(J5:J14)</t>
  </si>
  <si>
    <t xml:space="preserve">5. Regression Analysis — Excel LINEST (Regression Output sheet)</t>
  </si>
  <si>
    <t xml:space="preserve">Multiple regression</t>
  </si>
  <si>
    <t xml:space="preserve">LINEST fits all four X variables at once. It returns coefficients in REVERSE order of the X columns; row 2 holds standard errors.</t>
  </si>
  <si>
    <t xml:space="preserve">=INDEX(LINEST('Ratios Panel'!$K$5:$K$104,'Ratios Panel'!$S$5:$V$104,TRUE,TRUE),1,4)   ← D/E coefficient</t>
  </si>
  <si>
    <t xml:space="preserve">Regression Output, Model 1</t>
  </si>
  <si>
    <t xml:space="preserve">t-statistic and p-value</t>
  </si>
  <si>
    <t xml:space="preserve">t = coefficient ÷ standard error; two-tailed p-value from the t-distribution</t>
  </si>
  <si>
    <t xml:space="preserve">=B6/C6   and   =TDIST(ABS(D6),residual df,2)</t>
  </si>
  <si>
    <t xml:space="preserve">Regression Output, columns D–E</t>
  </si>
  <si>
    <t xml:space="preserve">R-squared, F</t>
  </si>
  <si>
    <t xml:space="preserve">Taken from rows 3 and 4 of the LINEST output</t>
  </si>
  <si>
    <t xml:space="preserve">=INDEX(LINEST(...),3,1)   and   =INDEX(LINEST(...),4,1)</t>
  </si>
  <si>
    <t xml:space="preserve">Regression Output, model summary</t>
  </si>
  <si>
    <t xml:space="preserve">Other Assets ÷ Other Liabilities</t>
  </si>
  <si>
    <t xml:space="preserve">='Raw Data'!M6/'Raw Data'!N6</t>
  </si>
  <si>
    <t xml:space="preserve">Ratios Panel, column Q</t>
  </si>
  <si>
    <t xml:space="preserve">COVID dummy</t>
  </si>
  <si>
    <t xml:space="preserve">1 for FY19-20 and FY20-21, otherwise 0</t>
  </si>
  <si>
    <t xml:space="preserve">=IF(OR(B5="FY19-20",B5="FY20-21"),1,0)</t>
  </si>
  <si>
    <t xml:space="preserve">Ratios Panel, column R</t>
  </si>
  <si>
    <t xml:space="preserve">6. ET Wealth Link sheet — comparing the article's three picks with the rest of the sample</t>
  </si>
  <si>
    <t xml:space="preserve">Company lookup</t>
  </si>
  <si>
    <t xml:space="preserve">Pulls a company's 10-year mean from Descriptive Stats</t>
  </si>
  <si>
    <t xml:space="preserve">=INDEX('Descriptive Stats'!$B$4:$B$13,MATCH($A36,'Descriptive Stats'!$A$4:$A$13,0))</t>
  </si>
  <si>
    <t xml:space="preserve">ET Wealth Link, section D</t>
  </si>
  <si>
    <t xml:space="preserve">Rank of D/E</t>
  </si>
  <si>
    <t xml:space="preserve">Position among the 10 firms (1 = least debt)</t>
  </si>
  <si>
    <t xml:space="preserve">=RANK(B36,'Descriptive Stats'!$B$4:$B$13,1)</t>
  </si>
  <si>
    <t xml:space="preserve">ET Wealth Link, column C</t>
  </si>
  <si>
    <t xml:space="preserve">Group mean (picks)</t>
  </si>
  <si>
    <t xml:space="preserve">Average over the 30 firm-years of the 3 picks</t>
  </si>
  <si>
    <t xml:space="preserve">=SUMPRODUCT(ISNUMBER(MATCH('Ratios Panel'!$A$5:$A$104,$A$29:$A$31,0))*'Ratios Panel'!$J$5:$J$104)/$B$42</t>
  </si>
  <si>
    <t xml:space="preserve">ET Wealth Link, section E</t>
  </si>
  <si>
    <t xml:space="preserve">Welch t-statistic</t>
  </si>
  <si>
    <t xml:space="preserve">Difference in means ÷ its standard error (unequal variances)</t>
  </si>
  <si>
    <t xml:space="preserve">=(B49-C49)/SQRT(D49/$B$42+E49/$B$43)</t>
  </si>
  <si>
    <t xml:space="preserve">ET Wealth Link, section F</t>
  </si>
  <si>
    <t xml:space="preserve">Two-tailed probability from the t-distribution</t>
  </si>
  <si>
    <t xml:space="preserve">=TDIST(ABS(F49),G49,2)</t>
  </si>
</sst>
</file>

<file path=xl/styles.xml><?xml version="1.0" encoding="utf-8"?>
<styleSheet xmlns="http://schemas.openxmlformats.org/spreadsheetml/2006/main">
  <numFmts count="13">
    <numFmt numFmtId="164" formatCode="General"/>
    <numFmt numFmtId="165" formatCode="#,##0"/>
    <numFmt numFmtId="166" formatCode="0.00"/>
    <numFmt numFmtId="167" formatCode="0.0%"/>
    <numFmt numFmtId="168" formatCode="0.0000"/>
    <numFmt numFmtId="169" formatCode="0"/>
    <numFmt numFmtId="170" formatCode="0.000"/>
    <numFmt numFmtId="171" formatCode="0.00\x"/>
    <numFmt numFmtId="172" formatCode="0.00;\-0.00"/>
    <numFmt numFmtId="173" formatCode="0.0%;\-0.0%"/>
    <numFmt numFmtId="174" formatCode="0.00000"/>
    <numFmt numFmtId="175" formatCode="0.0"/>
    <numFmt numFmtId="176" formatCode="0.00%"/>
  </numFmts>
  <fonts count="23">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1"/>
      <color rgb="FF595959"/>
      <name val="Arial"/>
      <family val="0"/>
      <charset val="1"/>
    </font>
    <font>
      <b val="true"/>
      <sz val="10"/>
      <name val="Arial"/>
      <family val="0"/>
      <charset val="1"/>
    </font>
    <font>
      <sz val="10"/>
      <name val="Arial"/>
      <family val="0"/>
      <charset val="1"/>
    </font>
    <font>
      <u val="single"/>
      <sz val="10"/>
      <color rgb="FF0563C1"/>
      <name val="Arial"/>
      <family val="0"/>
      <charset val="1"/>
    </font>
    <font>
      <b val="true"/>
      <sz val="12"/>
      <color rgb="FF1F4E78"/>
      <name val="Arial"/>
      <family val="0"/>
      <charset val="1"/>
    </font>
    <font>
      <b val="true"/>
      <sz val="10"/>
      <color rgb="FFFFFFFF"/>
      <name val="Arial"/>
      <family val="0"/>
      <charset val="1"/>
    </font>
    <font>
      <b val="true"/>
      <sz val="14"/>
      <name val="Arial"/>
      <family val="0"/>
      <charset val="1"/>
    </font>
    <font>
      <i val="true"/>
      <sz val="9"/>
      <color rgb="FF595959"/>
      <name val="Arial"/>
      <family val="0"/>
      <charset val="1"/>
    </font>
    <font>
      <sz val="10"/>
      <color rgb="FF0000FF"/>
      <name val="Arial"/>
      <family val="0"/>
      <charset val="1"/>
    </font>
    <font>
      <b val="true"/>
      <sz val="18"/>
      <color rgb="FFFFFFFF"/>
      <name val="Arial"/>
      <family val="0"/>
      <charset val="1"/>
    </font>
    <font>
      <b val="true"/>
      <sz val="10"/>
      <color rgb="FF1F4E78"/>
      <name val="Arial"/>
      <family val="0"/>
      <charset val="1"/>
    </font>
    <font>
      <b val="true"/>
      <sz val="9"/>
      <color rgb="FF595959"/>
      <name val="Arial"/>
      <family val="0"/>
      <charset val="1"/>
    </font>
    <font>
      <sz val="9"/>
      <color rgb="FF595959"/>
      <name val="Arial"/>
      <family val="0"/>
      <charset val="1"/>
    </font>
    <font>
      <b val="true"/>
      <sz val="11"/>
      <name val="Arial"/>
      <family val="0"/>
      <charset val="1"/>
    </font>
    <font>
      <i val="true"/>
      <sz val="9"/>
      <name val="Arial"/>
      <family val="0"/>
      <charset val="1"/>
    </font>
    <font>
      <sz val="10"/>
      <color rgb="FF008000"/>
      <name val="Arial"/>
      <family val="0"/>
      <charset val="1"/>
    </font>
    <font>
      <b val="true"/>
      <sz val="14"/>
      <color rgb="FF1F4E78"/>
      <name val="Arial"/>
      <family val="0"/>
      <charset val="1"/>
    </font>
    <font>
      <b val="true"/>
      <sz val="11"/>
      <color rgb="FF7B241C"/>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5F8FC"/>
        <bgColor rgb="FFF2F6FB"/>
      </patternFill>
    </fill>
    <fill>
      <patternFill patternType="solid">
        <fgColor rgb="FFF2F6FB"/>
        <bgColor rgb="FFF5F8FC"/>
      </patternFill>
    </fill>
    <fill>
      <patternFill patternType="solid">
        <fgColor rgb="FFD9E1F2"/>
        <bgColor rgb="FFF2F6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6" fontId="13" fillId="3" borderId="1" xfId="0" applyFont="true" applyBorder="true" applyAlignment="tru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xf numFmtId="164" fontId="15" fillId="4" borderId="1"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8" fontId="7" fillId="3"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6" fontId="6" fillId="5" borderId="1" xfId="0" applyFont="true" applyBorder="true" applyAlignment="true" applyProtection="false">
      <alignment horizontal="general" vertical="bottom" textRotation="0" wrapText="false" indent="0" shrinkToFit="false"/>
      <protection locked="true" hidden="false"/>
    </xf>
    <xf numFmtId="167" fontId="6" fillId="5" borderId="1" xfId="0" applyFont="true" applyBorder="true" applyAlignment="true" applyProtection="false">
      <alignment horizontal="general" vertical="bottom" textRotation="0" wrapText="false" indent="0" shrinkToFit="false"/>
      <protection locked="true" hidden="false"/>
    </xf>
    <xf numFmtId="168" fontId="6" fillId="5"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9" fontId="7" fillId="3" borderId="1"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general" vertical="bottom" textRotation="0" wrapText="false" indent="0" shrinkToFit="false"/>
      <protection locked="true" hidden="false"/>
    </xf>
    <xf numFmtId="167" fontId="0" fillId="3" borderId="1" xfId="0" applyFont="false" applyBorder="true" applyAlignment="true" applyProtection="false">
      <alignment horizontal="general" vertical="bottom" textRotation="0" wrapText="false" indent="0" shrinkToFit="false"/>
      <protection locked="true" hidden="false"/>
    </xf>
    <xf numFmtId="168" fontId="0" fillId="3" borderId="1" xfId="0" applyFont="fals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5"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false" indent="0" shrinkToFit="false"/>
      <protection locked="true" hidden="false"/>
    </xf>
    <xf numFmtId="168" fontId="7" fillId="3" borderId="1" xfId="0" applyFont="true" applyBorder="true" applyAlignment="true" applyProtection="false">
      <alignment horizontal="center" vertical="bottom" textRotation="0" wrapText="false" indent="0" shrinkToFit="false"/>
      <protection locked="true" hidden="false"/>
    </xf>
    <xf numFmtId="170" fontId="7"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8" fillId="5"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5" fontId="13"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7" fontId="13" fillId="3"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9" fontId="13"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9" fontId="7" fillId="3" borderId="1" xfId="0" applyFont="true" applyBorder="true" applyAlignment="true" applyProtection="false">
      <alignment horizontal="center" vertical="center" textRotation="0" wrapText="false" indent="0"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67" fontId="20" fillId="0" borderId="1" xfId="0" applyFont="true" applyBorder="true" applyAlignment="true" applyProtection="false">
      <alignment horizontal="center" vertical="center" textRotation="0" wrapText="false" indent="0" shrinkToFit="false"/>
      <protection locked="true" hidden="false"/>
    </xf>
    <xf numFmtId="166" fontId="20" fillId="3" borderId="1" xfId="0" applyFont="true" applyBorder="true" applyAlignment="true" applyProtection="false">
      <alignment horizontal="center" vertical="center" textRotation="0" wrapText="false" indent="0" shrinkToFit="false"/>
      <protection locked="true" hidden="false"/>
    </xf>
    <xf numFmtId="172" fontId="7" fillId="3" borderId="1" xfId="0" applyFont="true" applyBorder="true" applyAlignment="true" applyProtection="false">
      <alignment horizontal="center" vertical="center" textRotation="0" wrapText="false" indent="0" shrinkToFit="false"/>
      <protection locked="true" hidden="false"/>
    </xf>
    <xf numFmtId="167" fontId="20" fillId="3" borderId="1" xfId="0" applyFont="true" applyBorder="true" applyAlignment="true" applyProtection="false">
      <alignment horizontal="center" vertical="center" textRotation="0" wrapText="false" indent="0" shrinkToFit="false"/>
      <protection locked="true" hidden="false"/>
    </xf>
    <xf numFmtId="172" fontId="6" fillId="3" borderId="1" xfId="0" applyFont="true" applyBorder="true" applyAlignment="true" applyProtection="false">
      <alignment horizontal="center" vertical="center" textRotation="0" wrapText="false" indent="0" shrinkToFit="false"/>
      <protection locked="true" hidden="false"/>
    </xf>
    <xf numFmtId="173" fontId="6" fillId="3"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74" fontId="7" fillId="0" borderId="1" xfId="0" applyFont="true" applyBorder="true" applyAlignment="true" applyProtection="false">
      <alignment horizontal="center" vertical="center" textRotation="0" wrapText="false" indent="0" shrinkToFit="false"/>
      <protection locked="true" hidden="false"/>
    </xf>
    <xf numFmtId="175" fontId="7" fillId="0" borderId="1" xfId="0" applyFont="true" applyBorder="true" applyAlignment="true" applyProtection="false">
      <alignment horizontal="center" vertical="center" textRotation="0" wrapText="false" indent="0" shrinkToFit="false"/>
      <protection locked="true" hidden="false"/>
    </xf>
    <xf numFmtId="168" fontId="7" fillId="3" borderId="1" xfId="0" applyFont="true" applyBorder="true" applyAlignment="true" applyProtection="false">
      <alignment horizontal="center" vertical="center" textRotation="0" wrapText="false" indent="0" shrinkToFit="false"/>
      <protection locked="true" hidden="false"/>
    </xf>
    <xf numFmtId="174" fontId="7" fillId="3" borderId="1" xfId="0" applyFont="true" applyBorder="true" applyAlignment="true" applyProtection="false">
      <alignment horizontal="center" vertical="center" textRotation="0" wrapText="false" indent="0" shrinkToFit="false"/>
      <protection locked="true" hidden="false"/>
    </xf>
    <xf numFmtId="175" fontId="7"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20" fillId="0" borderId="1" xfId="0" applyFont="true" applyBorder="true" applyAlignment="true" applyProtection="false">
      <alignment horizontal="center" vertical="bottom" textRotation="0" wrapText="false" indent="0" shrinkToFit="false"/>
      <protection locked="true" hidden="false"/>
    </xf>
    <xf numFmtId="167" fontId="13" fillId="0" borderId="1" xfId="0" applyFont="true" applyBorder="true" applyAlignment="true" applyProtection="false">
      <alignment horizontal="center" vertical="bottom" textRotation="0" wrapText="false" indent="0" shrinkToFit="false"/>
      <protection locked="true" hidden="false"/>
    </xf>
    <xf numFmtId="176" fontId="13" fillId="0" borderId="1" xfId="0" applyFont="true" applyBorder="true" applyAlignment="true" applyProtection="false">
      <alignment horizontal="center"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76" fontId="7" fillId="3" borderId="1" xfId="0" applyFont="true" applyBorder="true" applyAlignment="true" applyProtection="false">
      <alignment horizontal="center" vertical="center" textRotation="0" wrapText="false" indent="0" shrinkToFit="false"/>
      <protection locked="true" hidden="false"/>
    </xf>
    <xf numFmtId="176" fontId="7" fillId="0"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22" fillId="5"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5F8FC"/>
      <rgbColor rgb="FFF2F6FB"/>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7B241C"/>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tejnanichandan-ctrl/capital-structure-textiles-indi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5"/>
  </cols>
  <sheetData>
    <row r="2" customFormat="false" ht="19.7" hidden="false" customHeight="false" outlineLevel="0" collapsed="false">
      <c r="B2" s="1" t="s">
        <v>0</v>
      </c>
      <c r="C2" s="1"/>
    </row>
    <row r="3" customFormat="false" ht="30" hidden="false" customHeight="true" outlineLevel="0" collapsed="false">
      <c r="B3" s="2" t="s">
        <v>1</v>
      </c>
      <c r="C3" s="2"/>
    </row>
    <row r="5" customFormat="false" ht="15" hidden="false" customHeight="false" outlineLevel="0" collapsed="false">
      <c r="B5" s="3" t="s">
        <v>2</v>
      </c>
      <c r="C5" s="4" t="s">
        <v>3</v>
      </c>
    </row>
    <row r="6" customFormat="false" ht="23.85" hidden="false" customHeight="false" outlineLevel="0" collapsed="false">
      <c r="B6" s="3" t="s">
        <v>4</v>
      </c>
      <c r="C6" s="4" t="s">
        <v>5</v>
      </c>
    </row>
    <row r="7" customFormat="false" ht="23.85" hidden="false" customHeight="false" outlineLevel="0" collapsed="false">
      <c r="B7" s="3" t="s">
        <v>6</v>
      </c>
      <c r="C7" s="4" t="s">
        <v>7</v>
      </c>
    </row>
    <row r="8" customFormat="false" ht="15" hidden="false" customHeight="false" outlineLevel="0" collapsed="false">
      <c r="B8" s="3" t="s">
        <v>8</v>
      </c>
      <c r="C8" s="5" t="s">
        <v>9</v>
      </c>
    </row>
    <row r="9" customFormat="false" ht="15" hidden="false" customHeight="false" outlineLevel="0" collapsed="false">
      <c r="B9" s="3" t="s">
        <v>10</v>
      </c>
      <c r="C9" s="4" t="s">
        <v>11</v>
      </c>
    </row>
    <row r="10" customFormat="false" ht="23.85" hidden="false" customHeight="false" outlineLevel="0" collapsed="false">
      <c r="B10" s="3" t="s">
        <v>12</v>
      </c>
      <c r="C10" s="4" t="s">
        <v>13</v>
      </c>
    </row>
    <row r="12" customFormat="false" ht="15" hidden="false" customHeight="false" outlineLevel="0" collapsed="false">
      <c r="B12" s="6" t="s">
        <v>14</v>
      </c>
    </row>
    <row r="13" customFormat="false" ht="15" hidden="false" customHeight="false" outlineLevel="0" collapsed="false">
      <c r="B13" s="7" t="s">
        <v>15</v>
      </c>
      <c r="C13" s="7" t="s">
        <v>16</v>
      </c>
    </row>
    <row r="14" customFormat="false" ht="15" hidden="false" customHeight="false" outlineLevel="0" collapsed="false">
      <c r="B14" s="8" t="s">
        <v>17</v>
      </c>
      <c r="C14" s="9" t="s">
        <v>18</v>
      </c>
    </row>
    <row r="15" customFormat="false" ht="15" hidden="false" customHeight="false" outlineLevel="0" collapsed="false">
      <c r="B15" s="10" t="s">
        <v>19</v>
      </c>
      <c r="C15" s="11" t="s">
        <v>20</v>
      </c>
    </row>
    <row r="16" customFormat="false" ht="15" hidden="false" customHeight="false" outlineLevel="0" collapsed="false">
      <c r="B16" s="8" t="s">
        <v>21</v>
      </c>
      <c r="C16" s="9" t="s">
        <v>22</v>
      </c>
    </row>
    <row r="17" customFormat="false" ht="15" hidden="false" customHeight="false" outlineLevel="0" collapsed="false">
      <c r="B17" s="10" t="s">
        <v>23</v>
      </c>
      <c r="C17" s="11" t="s">
        <v>24</v>
      </c>
    </row>
    <row r="18" customFormat="false" ht="15" hidden="false" customHeight="false" outlineLevel="0" collapsed="false">
      <c r="B18" s="8" t="s">
        <v>25</v>
      </c>
      <c r="C18" s="9" t="s">
        <v>26</v>
      </c>
    </row>
    <row r="19" customFormat="false" ht="15" hidden="false" customHeight="false" outlineLevel="0" collapsed="false">
      <c r="B19" s="10" t="s">
        <v>27</v>
      </c>
      <c r="C19" s="11" t="s">
        <v>28</v>
      </c>
    </row>
    <row r="20" customFormat="false" ht="23.85" hidden="false" customHeight="false" outlineLevel="0" collapsed="false">
      <c r="B20" s="8" t="s">
        <v>29</v>
      </c>
      <c r="C20" s="9" t="s">
        <v>30</v>
      </c>
    </row>
    <row r="21" customFormat="false" ht="15" hidden="false" customHeight="false" outlineLevel="0" collapsed="false">
      <c r="B21" s="10" t="s">
        <v>31</v>
      </c>
      <c r="C21" s="11" t="s">
        <v>32</v>
      </c>
    </row>
    <row r="22" customFormat="false" ht="15" hidden="false" customHeight="false" outlineLevel="0" collapsed="false">
      <c r="B22" s="8" t="s">
        <v>33</v>
      </c>
      <c r="C22" s="9" t="s">
        <v>34</v>
      </c>
    </row>
    <row r="24" customFormat="false" ht="15" hidden="false" customHeight="false" outlineLevel="0" collapsed="false">
      <c r="B24" s="6" t="s">
        <v>35</v>
      </c>
    </row>
    <row r="25" customFormat="false" ht="42" hidden="false" customHeight="true" outlineLevel="0" collapsed="false">
      <c r="B25" s="12" t="s">
        <v>36</v>
      </c>
      <c r="C25" s="13" t="s">
        <v>37</v>
      </c>
    </row>
    <row r="26" customFormat="false" ht="27.75" hidden="false" customHeight="true" outlineLevel="0" collapsed="false">
      <c r="B26" s="12" t="s">
        <v>38</v>
      </c>
      <c r="C26" s="13" t="s">
        <v>39</v>
      </c>
    </row>
    <row r="27" customFormat="false" ht="42" hidden="false" customHeight="true" outlineLevel="0" collapsed="false">
      <c r="B27" s="12" t="s">
        <v>40</v>
      </c>
      <c r="C27" s="13" t="s">
        <v>41</v>
      </c>
    </row>
    <row r="28" customFormat="false" ht="42" hidden="false" customHeight="true" outlineLevel="0" collapsed="false">
      <c r="B28" s="12" t="s">
        <v>42</v>
      </c>
      <c r="C28" s="13" t="s">
        <v>43</v>
      </c>
    </row>
  </sheetData>
  <mergeCells count="2">
    <mergeCell ref="B2:C2"/>
    <mergeCell ref="B3:C3"/>
  </mergeCells>
  <hyperlinks>
    <hyperlink ref="C8" r:id="rId1" display="https://github.com/tejnanichandan-ctrl/capital-structure-textiles-india"/>
  </hyperlinks>
  <printOptions headings="false" gridLines="false" gridLinesSet="true" horizontalCentered="tru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N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0"/>
    <col collapsed="false" customWidth="true" hidden="false" outlineLevel="0" max="2" min="2" style="14" width="14"/>
    <col collapsed="false" customWidth="true" hidden="false" outlineLevel="0" max="4" min="3" style="14" width="12"/>
    <col collapsed="false" customWidth="true" hidden="false" outlineLevel="0" max="5" min="5" style="14" width="15"/>
    <col collapsed="false" customWidth="true" hidden="false" outlineLevel="0" max="6" min="6" style="14" width="12"/>
    <col collapsed="false" customWidth="true" hidden="false" outlineLevel="0" max="7" min="7" style="14" width="15"/>
    <col collapsed="false" customWidth="true" hidden="false" outlineLevel="0" max="8" min="8" style="14" width="17"/>
    <col collapsed="false" customWidth="true" hidden="false" outlineLevel="0" max="10" min="9" style="14" width="13"/>
    <col collapsed="false" customWidth="true" hidden="false" outlineLevel="0" max="11" min="11" style="14" width="17"/>
    <col collapsed="false" customWidth="true" hidden="false" outlineLevel="0" max="12" min="12" style="14" width="11"/>
    <col collapsed="false" customWidth="true" hidden="false" outlineLevel="0" max="14" min="13" style="0" width="13"/>
  </cols>
  <sheetData>
    <row r="1" customFormat="false" ht="17.25" hidden="false" customHeight="true" outlineLevel="0" collapsed="false">
      <c r="A1" s="15" t="s">
        <v>44</v>
      </c>
      <c r="B1" s="15"/>
      <c r="C1" s="15"/>
      <c r="D1" s="15"/>
      <c r="E1" s="15"/>
      <c r="F1" s="15"/>
      <c r="G1" s="15"/>
      <c r="H1" s="15"/>
      <c r="I1" s="15"/>
      <c r="J1" s="15"/>
      <c r="K1" s="15"/>
    </row>
    <row r="2" customFormat="false" ht="42" hidden="false" customHeight="true" outlineLevel="0" collapsed="false">
      <c r="A2" s="16" t="s">
        <v>45</v>
      </c>
      <c r="B2" s="16"/>
      <c r="C2" s="16"/>
      <c r="D2" s="16"/>
      <c r="E2" s="16"/>
      <c r="F2" s="16"/>
      <c r="G2" s="16"/>
      <c r="H2" s="16"/>
      <c r="I2" s="16"/>
      <c r="J2" s="16"/>
      <c r="K2" s="16"/>
    </row>
    <row r="4" customFormat="false" ht="23.25" hidden="false" customHeight="true" outlineLevel="0" collapsed="false">
      <c r="A4" s="17" t="s">
        <v>46</v>
      </c>
      <c r="B4" s="17" t="s">
        <v>47</v>
      </c>
      <c r="C4" s="17" t="s">
        <v>48</v>
      </c>
      <c r="D4" s="17" t="s">
        <v>49</v>
      </c>
      <c r="E4" s="17" t="s">
        <v>50</v>
      </c>
      <c r="F4" s="17" t="s">
        <v>51</v>
      </c>
      <c r="G4" s="17" t="s">
        <v>52</v>
      </c>
      <c r="H4" s="17" t="s">
        <v>53</v>
      </c>
      <c r="I4" s="17" t="s">
        <v>54</v>
      </c>
      <c r="J4" s="17" t="s">
        <v>55</v>
      </c>
      <c r="K4" s="17" t="s">
        <v>56</v>
      </c>
      <c r="L4" s="17" t="s">
        <v>57</v>
      </c>
      <c r="M4" s="17" t="s">
        <v>58</v>
      </c>
      <c r="N4" s="17" t="s">
        <v>59</v>
      </c>
    </row>
    <row r="5" customFormat="false" ht="15" hidden="false" customHeight="true" outlineLevel="0" collapsed="false">
      <c r="A5" s="18" t="s">
        <v>60</v>
      </c>
      <c r="B5" s="18" t="s">
        <v>61</v>
      </c>
      <c r="C5" s="18" t="n">
        <v>2015</v>
      </c>
      <c r="D5" s="19" t="n">
        <v>2080</v>
      </c>
      <c r="E5" s="19" t="n">
        <v>357</v>
      </c>
      <c r="F5" s="19" t="n">
        <v>146</v>
      </c>
      <c r="G5" s="19" t="n">
        <v>38</v>
      </c>
      <c r="H5" s="19" t="n">
        <v>826</v>
      </c>
      <c r="I5" s="19" t="n">
        <v>672</v>
      </c>
      <c r="J5" s="19" t="n">
        <v>1731</v>
      </c>
      <c r="K5" s="19" t="n">
        <v>924</v>
      </c>
      <c r="L5" s="20" t="n">
        <v>3.87</v>
      </c>
      <c r="M5" s="19" t="n">
        <v>727</v>
      </c>
      <c r="N5" s="19" t="n">
        <v>196</v>
      </c>
    </row>
    <row r="6" customFormat="false" ht="15" hidden="false" customHeight="true" outlineLevel="0" collapsed="false">
      <c r="A6" s="18" t="s">
        <v>60</v>
      </c>
      <c r="B6" s="18" t="s">
        <v>61</v>
      </c>
      <c r="C6" s="18" t="n">
        <v>2016</v>
      </c>
      <c r="D6" s="19" t="n">
        <v>1961</v>
      </c>
      <c r="E6" s="19" t="n">
        <v>356</v>
      </c>
      <c r="F6" s="19" t="n">
        <v>156</v>
      </c>
      <c r="G6" s="19" t="n">
        <v>38</v>
      </c>
      <c r="H6" s="19" t="n">
        <v>943</v>
      </c>
      <c r="I6" s="19" t="n">
        <v>590</v>
      </c>
      <c r="J6" s="19" t="n">
        <v>1730</v>
      </c>
      <c r="K6" s="19" t="n">
        <v>894</v>
      </c>
      <c r="L6" s="20" t="n">
        <v>4.14</v>
      </c>
      <c r="M6" s="19" t="n">
        <v>758</v>
      </c>
      <c r="N6" s="19" t="n">
        <v>160</v>
      </c>
    </row>
    <row r="7" customFormat="false" ht="15" hidden="false" customHeight="true" outlineLevel="0" collapsed="false">
      <c r="A7" s="18" t="s">
        <v>60</v>
      </c>
      <c r="B7" s="18" t="s">
        <v>61</v>
      </c>
      <c r="C7" s="18" t="n">
        <v>2017</v>
      </c>
      <c r="D7" s="19" t="n">
        <v>2219</v>
      </c>
      <c r="E7" s="19" t="n">
        <v>446</v>
      </c>
      <c r="F7" s="19" t="n">
        <v>238</v>
      </c>
      <c r="G7" s="19" t="n">
        <v>37</v>
      </c>
      <c r="H7" s="19" t="n">
        <v>1081</v>
      </c>
      <c r="I7" s="19" t="n">
        <v>491</v>
      </c>
      <c r="J7" s="19" t="n">
        <v>1800</v>
      </c>
      <c r="K7" s="19" t="n">
        <v>918</v>
      </c>
      <c r="L7" s="20" t="n">
        <v>6.45</v>
      </c>
      <c r="M7" s="19" t="n">
        <v>794</v>
      </c>
      <c r="N7" s="19" t="n">
        <v>191</v>
      </c>
    </row>
    <row r="8" customFormat="false" ht="15" hidden="false" customHeight="true" outlineLevel="0" collapsed="false">
      <c r="A8" s="18" t="s">
        <v>60</v>
      </c>
      <c r="B8" s="18" t="s">
        <v>61</v>
      </c>
      <c r="C8" s="18" t="n">
        <v>2018</v>
      </c>
      <c r="D8" s="19" t="n">
        <v>2512</v>
      </c>
      <c r="E8" s="19" t="n">
        <v>429</v>
      </c>
      <c r="F8" s="19" t="n">
        <v>225</v>
      </c>
      <c r="G8" s="19" t="n">
        <v>37</v>
      </c>
      <c r="H8" s="19" t="n">
        <v>1300</v>
      </c>
      <c r="I8" s="19" t="n">
        <v>346</v>
      </c>
      <c r="J8" s="19" t="n">
        <v>1930</v>
      </c>
      <c r="K8" s="19" t="n">
        <v>865</v>
      </c>
      <c r="L8" s="20" t="n">
        <v>6.09</v>
      </c>
      <c r="M8" s="19" t="n">
        <v>975</v>
      </c>
      <c r="N8" s="19" t="n">
        <v>247</v>
      </c>
    </row>
    <row r="9" customFormat="false" ht="15" hidden="false" customHeight="true" outlineLevel="0" collapsed="false">
      <c r="A9" s="18" t="s">
        <v>60</v>
      </c>
      <c r="B9" s="18" t="s">
        <v>61</v>
      </c>
      <c r="C9" s="18" t="n">
        <v>2019</v>
      </c>
      <c r="D9" s="19" t="n">
        <v>2979</v>
      </c>
      <c r="E9" s="19" t="n">
        <v>507</v>
      </c>
      <c r="F9" s="19" t="n">
        <v>289</v>
      </c>
      <c r="G9" s="19" t="n">
        <v>36</v>
      </c>
      <c r="H9" s="19" t="n">
        <v>1475</v>
      </c>
      <c r="I9" s="19" t="n">
        <v>654</v>
      </c>
      <c r="J9" s="19" t="n">
        <v>2397</v>
      </c>
      <c r="K9" s="19" t="n">
        <v>798</v>
      </c>
      <c r="L9" s="20" t="n">
        <v>7.97</v>
      </c>
      <c r="M9" s="19" t="n">
        <v>1519</v>
      </c>
      <c r="N9" s="19" t="n">
        <v>232</v>
      </c>
    </row>
    <row r="10" customFormat="false" ht="15" hidden="false" customHeight="true" outlineLevel="0" collapsed="false">
      <c r="A10" s="18" t="s">
        <v>60</v>
      </c>
      <c r="B10" s="18" t="s">
        <v>61</v>
      </c>
      <c r="C10" s="18" t="n">
        <v>2020</v>
      </c>
      <c r="D10" s="19" t="n">
        <v>2898</v>
      </c>
      <c r="E10" s="19" t="n">
        <v>475</v>
      </c>
      <c r="F10" s="19" t="n">
        <v>295</v>
      </c>
      <c r="G10" s="19" t="n">
        <v>34</v>
      </c>
      <c r="H10" s="19" t="n">
        <v>1470</v>
      </c>
      <c r="I10" s="19" t="n">
        <v>472</v>
      </c>
      <c r="J10" s="19" t="n">
        <v>2187</v>
      </c>
      <c r="K10" s="19" t="n">
        <v>873</v>
      </c>
      <c r="L10" s="20" t="n">
        <v>8.56</v>
      </c>
      <c r="M10" s="19" t="n">
        <v>1225</v>
      </c>
      <c r="N10" s="19" t="n">
        <v>211</v>
      </c>
    </row>
    <row r="11" customFormat="false" ht="15" hidden="false" customHeight="true" outlineLevel="0" collapsed="false">
      <c r="A11" s="18" t="s">
        <v>60</v>
      </c>
      <c r="B11" s="18" t="s">
        <v>61</v>
      </c>
      <c r="C11" s="18" t="n">
        <v>2021</v>
      </c>
      <c r="D11" s="19" t="n">
        <v>2954</v>
      </c>
      <c r="E11" s="19" t="n">
        <v>664</v>
      </c>
      <c r="F11" s="19" t="n">
        <v>433</v>
      </c>
      <c r="G11" s="19" t="n">
        <v>34</v>
      </c>
      <c r="H11" s="19" t="n">
        <v>1872</v>
      </c>
      <c r="I11" s="19" t="n">
        <v>317</v>
      </c>
      <c r="J11" s="19" t="n">
        <v>2485</v>
      </c>
      <c r="K11" s="19" t="n">
        <v>815</v>
      </c>
      <c r="L11" s="20" t="n">
        <v>12.57</v>
      </c>
      <c r="M11" s="19" t="n">
        <v>1250</v>
      </c>
      <c r="N11" s="19" t="n">
        <v>262</v>
      </c>
    </row>
    <row r="12" customFormat="false" ht="15" hidden="false" customHeight="true" outlineLevel="0" collapsed="false">
      <c r="A12" s="18" t="s">
        <v>60</v>
      </c>
      <c r="B12" s="18" t="s">
        <v>61</v>
      </c>
      <c r="C12" s="18" t="n">
        <v>2022</v>
      </c>
      <c r="D12" s="19" t="n">
        <v>4074</v>
      </c>
      <c r="E12" s="19" t="n">
        <v>984</v>
      </c>
      <c r="F12" s="19" t="n">
        <v>731</v>
      </c>
      <c r="G12" s="19" t="n">
        <v>34</v>
      </c>
      <c r="H12" s="19" t="n">
        <v>2598</v>
      </c>
      <c r="I12" s="19" t="n">
        <v>418</v>
      </c>
      <c r="J12" s="19" t="n">
        <v>3359</v>
      </c>
      <c r="K12" s="19" t="n">
        <v>850</v>
      </c>
      <c r="L12" s="20" t="n">
        <v>21.24</v>
      </c>
      <c r="M12" s="19" t="n">
        <v>1656</v>
      </c>
      <c r="N12" s="19" t="n">
        <v>309</v>
      </c>
    </row>
    <row r="13" customFormat="false" ht="15" hidden="false" customHeight="true" outlineLevel="0" collapsed="false">
      <c r="A13" s="18" t="s">
        <v>60</v>
      </c>
      <c r="B13" s="18" t="s">
        <v>61</v>
      </c>
      <c r="C13" s="18" t="n">
        <v>2023</v>
      </c>
      <c r="D13" s="19" t="n">
        <v>4740</v>
      </c>
      <c r="E13" s="19" t="n">
        <v>799</v>
      </c>
      <c r="F13" s="19" t="n">
        <v>635</v>
      </c>
      <c r="G13" s="19" t="n">
        <v>34</v>
      </c>
      <c r="H13" s="19" t="n">
        <v>2939</v>
      </c>
      <c r="I13" s="19" t="n">
        <v>498</v>
      </c>
      <c r="J13" s="19" t="n">
        <v>3874</v>
      </c>
      <c r="K13" s="19" t="n">
        <v>971</v>
      </c>
      <c r="L13" s="20" t="n">
        <v>18.58</v>
      </c>
      <c r="M13" s="19" t="n">
        <v>2018</v>
      </c>
      <c r="N13" s="19" t="n">
        <v>403</v>
      </c>
    </row>
    <row r="14" customFormat="false" ht="15" hidden="false" customHeight="true" outlineLevel="0" collapsed="false">
      <c r="A14" s="18" t="s">
        <v>60</v>
      </c>
      <c r="B14" s="18" t="s">
        <v>61</v>
      </c>
      <c r="C14" s="18" t="n">
        <v>2024</v>
      </c>
      <c r="D14" s="19" t="n">
        <v>4054</v>
      </c>
      <c r="E14" s="19" t="n">
        <v>595</v>
      </c>
      <c r="F14" s="19" t="n">
        <v>555</v>
      </c>
      <c r="G14" s="19" t="n">
        <v>34</v>
      </c>
      <c r="H14" s="19" t="n">
        <v>3340</v>
      </c>
      <c r="I14" s="19" t="n">
        <v>287</v>
      </c>
      <c r="J14" s="19" t="n">
        <v>3919</v>
      </c>
      <c r="K14" s="19" t="n">
        <v>1070</v>
      </c>
      <c r="L14" s="20" t="n">
        <v>16.23</v>
      </c>
      <c r="M14" s="19" t="n">
        <v>2088</v>
      </c>
      <c r="N14" s="19" t="n">
        <v>258</v>
      </c>
    </row>
    <row r="15" customFormat="false" ht="15" hidden="false" customHeight="true" outlineLevel="0" collapsed="false">
      <c r="A15" s="18" t="s">
        <v>60</v>
      </c>
      <c r="B15" s="18" t="s">
        <v>61</v>
      </c>
      <c r="C15" s="18" t="n">
        <v>2025</v>
      </c>
      <c r="D15" s="19" t="n">
        <v>4216</v>
      </c>
      <c r="E15" s="19" t="n">
        <v>764</v>
      </c>
      <c r="F15" s="19" t="n">
        <v>653</v>
      </c>
      <c r="G15" s="19" t="n">
        <v>34</v>
      </c>
      <c r="H15" s="19" t="n">
        <v>3822</v>
      </c>
      <c r="I15" s="19" t="n">
        <v>241</v>
      </c>
      <c r="J15" s="19" t="n">
        <v>4403</v>
      </c>
      <c r="K15" s="19" t="n">
        <v>1122</v>
      </c>
      <c r="L15" s="20" t="n">
        <v>19.11</v>
      </c>
      <c r="M15" s="19" t="n">
        <v>2326</v>
      </c>
      <c r="N15" s="19" t="n">
        <v>306</v>
      </c>
    </row>
    <row r="16" customFormat="false" ht="15" hidden="false" customHeight="true" outlineLevel="0" collapsed="false">
      <c r="A16" s="21" t="s">
        <v>62</v>
      </c>
      <c r="B16" s="21" t="s">
        <v>61</v>
      </c>
      <c r="C16" s="21" t="n">
        <v>2015</v>
      </c>
      <c r="D16" s="22" t="n">
        <v>4390</v>
      </c>
      <c r="E16" s="22" t="n">
        <v>1042</v>
      </c>
      <c r="F16" s="22" t="n">
        <v>510</v>
      </c>
      <c r="G16" s="22" t="n">
        <v>100</v>
      </c>
      <c r="H16" s="22" t="n">
        <v>1332</v>
      </c>
      <c r="I16" s="22" t="n">
        <v>2467</v>
      </c>
      <c r="J16" s="22" t="n">
        <v>4827</v>
      </c>
      <c r="K16" s="22" t="n">
        <v>2052</v>
      </c>
      <c r="L16" s="23" t="n">
        <v>5.08</v>
      </c>
      <c r="M16" s="22" t="n">
        <v>2069</v>
      </c>
      <c r="N16" s="22" t="n">
        <v>928</v>
      </c>
    </row>
    <row r="17" customFormat="false" ht="15" hidden="false" customHeight="true" outlineLevel="0" collapsed="false">
      <c r="A17" s="21" t="s">
        <v>62</v>
      </c>
      <c r="B17" s="21" t="s">
        <v>61</v>
      </c>
      <c r="C17" s="21" t="n">
        <v>2016</v>
      </c>
      <c r="D17" s="22" t="n">
        <v>4885</v>
      </c>
      <c r="E17" s="22" t="n">
        <v>1275</v>
      </c>
      <c r="F17" s="22" t="n">
        <v>648</v>
      </c>
      <c r="G17" s="22" t="n">
        <v>100</v>
      </c>
      <c r="H17" s="22" t="n">
        <v>1799</v>
      </c>
      <c r="I17" s="22" t="n">
        <v>2566</v>
      </c>
      <c r="J17" s="22" t="n">
        <v>5362</v>
      </c>
      <c r="K17" s="22" t="n">
        <v>2830</v>
      </c>
      <c r="L17" s="23" t="n">
        <v>6.45</v>
      </c>
      <c r="M17" s="22" t="n">
        <v>1841</v>
      </c>
      <c r="N17" s="22" t="n">
        <v>896</v>
      </c>
    </row>
    <row r="18" customFormat="false" ht="15" hidden="false" customHeight="true" outlineLevel="0" collapsed="false">
      <c r="A18" s="21" t="s">
        <v>62</v>
      </c>
      <c r="B18" s="21" t="s">
        <v>61</v>
      </c>
      <c r="C18" s="21" t="n">
        <v>2017</v>
      </c>
      <c r="D18" s="22" t="n">
        <v>5639</v>
      </c>
      <c r="E18" s="22" t="n">
        <v>1370</v>
      </c>
      <c r="F18" s="22" t="n">
        <v>307</v>
      </c>
      <c r="G18" s="22" t="n">
        <v>100</v>
      </c>
      <c r="H18" s="22" t="n">
        <v>2101</v>
      </c>
      <c r="I18" s="22" t="n">
        <v>2738</v>
      </c>
      <c r="J18" s="22" t="n">
        <v>6248</v>
      </c>
      <c r="K18" s="22" t="n">
        <v>3057</v>
      </c>
      <c r="L18" s="23" t="n">
        <v>3.05</v>
      </c>
      <c r="M18" s="22" t="n">
        <v>2365</v>
      </c>
      <c r="N18" s="22" t="n">
        <v>1308</v>
      </c>
    </row>
    <row r="19" customFormat="false" ht="15" hidden="false" customHeight="true" outlineLevel="0" collapsed="false">
      <c r="A19" s="21" t="s">
        <v>62</v>
      </c>
      <c r="B19" s="21" t="s">
        <v>61</v>
      </c>
      <c r="C19" s="21" t="n">
        <v>2018</v>
      </c>
      <c r="D19" s="22" t="n">
        <v>4977</v>
      </c>
      <c r="E19" s="22" t="n">
        <v>894</v>
      </c>
      <c r="F19" s="22" t="n">
        <v>304</v>
      </c>
      <c r="G19" s="22" t="n">
        <v>100</v>
      </c>
      <c r="H19" s="22" t="n">
        <v>2329</v>
      </c>
      <c r="I19" s="22" t="n">
        <v>2721</v>
      </c>
      <c r="J19" s="22" t="n">
        <v>6248</v>
      </c>
      <c r="K19" s="22" t="n">
        <v>2846</v>
      </c>
      <c r="L19" s="23" t="n">
        <v>3.03</v>
      </c>
      <c r="M19" s="22" t="n">
        <v>2500</v>
      </c>
      <c r="N19" s="22" t="n">
        <v>1099</v>
      </c>
    </row>
    <row r="20" customFormat="false" ht="15" hidden="false" customHeight="true" outlineLevel="0" collapsed="false">
      <c r="A20" s="21" t="s">
        <v>62</v>
      </c>
      <c r="B20" s="21" t="s">
        <v>61</v>
      </c>
      <c r="C20" s="21" t="n">
        <v>2019</v>
      </c>
      <c r="D20" s="22" t="n">
        <v>5395</v>
      </c>
      <c r="E20" s="22" t="n">
        <v>795</v>
      </c>
      <c r="F20" s="22" t="n">
        <v>142</v>
      </c>
      <c r="G20" s="22" t="n">
        <v>100</v>
      </c>
      <c r="H20" s="22" t="n">
        <v>2389</v>
      </c>
      <c r="I20" s="22" t="n">
        <v>2510</v>
      </c>
      <c r="J20" s="22" t="n">
        <v>6264</v>
      </c>
      <c r="K20" s="22" t="n">
        <v>2654</v>
      </c>
      <c r="L20" s="23" t="n">
        <v>1.41</v>
      </c>
      <c r="M20" s="22" t="n">
        <v>2531</v>
      </c>
      <c r="N20" s="22" t="n">
        <v>1264</v>
      </c>
    </row>
    <row r="21" customFormat="false" ht="15" hidden="false" customHeight="true" outlineLevel="0" collapsed="false">
      <c r="A21" s="21" t="s">
        <v>62</v>
      </c>
      <c r="B21" s="21" t="s">
        <v>61</v>
      </c>
      <c r="C21" s="21" t="n">
        <v>2020</v>
      </c>
      <c r="D21" s="22" t="n">
        <v>5324</v>
      </c>
      <c r="E21" s="22" t="n">
        <v>1009</v>
      </c>
      <c r="F21" s="22" t="n">
        <v>475</v>
      </c>
      <c r="G21" s="22" t="n">
        <v>100</v>
      </c>
      <c r="H21" s="22" t="n">
        <v>2707</v>
      </c>
      <c r="I21" s="22" t="n">
        <v>2275</v>
      </c>
      <c r="J21" s="22" t="n">
        <v>6221</v>
      </c>
      <c r="K21" s="22" t="n">
        <v>2385</v>
      </c>
      <c r="L21" s="23" t="n">
        <v>4.73</v>
      </c>
      <c r="M21" s="22" t="n">
        <v>2486</v>
      </c>
      <c r="N21" s="22" t="n">
        <v>1139</v>
      </c>
    </row>
    <row r="22" customFormat="false" ht="15" hidden="false" customHeight="true" outlineLevel="0" collapsed="false">
      <c r="A22" s="21" t="s">
        <v>62</v>
      </c>
      <c r="B22" s="21" t="s">
        <v>61</v>
      </c>
      <c r="C22" s="21" t="n">
        <v>2021</v>
      </c>
      <c r="D22" s="22" t="n">
        <v>5956</v>
      </c>
      <c r="E22" s="22" t="n">
        <v>1084</v>
      </c>
      <c r="F22" s="22" t="n">
        <v>527</v>
      </c>
      <c r="G22" s="22" t="n">
        <v>100</v>
      </c>
      <c r="H22" s="22" t="n">
        <v>3238</v>
      </c>
      <c r="I22" s="22" t="n">
        <v>1409</v>
      </c>
      <c r="J22" s="22" t="n">
        <v>6098</v>
      </c>
      <c r="K22" s="22" t="n">
        <v>2158</v>
      </c>
      <c r="L22" s="23" t="n">
        <v>5.24</v>
      </c>
      <c r="M22" s="22" t="n">
        <v>2528</v>
      </c>
      <c r="N22" s="22" t="n">
        <v>1350</v>
      </c>
    </row>
    <row r="23" customFormat="false" ht="15" hidden="false" customHeight="true" outlineLevel="0" collapsed="false">
      <c r="A23" s="21" t="s">
        <v>62</v>
      </c>
      <c r="B23" s="21" t="s">
        <v>61</v>
      </c>
      <c r="C23" s="21" t="n">
        <v>2022</v>
      </c>
      <c r="D23" s="22" t="n">
        <v>6703</v>
      </c>
      <c r="E23" s="22" t="n">
        <v>893</v>
      </c>
      <c r="F23" s="22" t="n">
        <v>392</v>
      </c>
      <c r="G23" s="22" t="n">
        <v>99</v>
      </c>
      <c r="H23" s="22" t="n">
        <v>3376</v>
      </c>
      <c r="I23" s="22" t="n">
        <v>1318</v>
      </c>
      <c r="J23" s="22" t="n">
        <v>6191</v>
      </c>
      <c r="K23" s="22" t="n">
        <v>2025</v>
      </c>
      <c r="L23" s="23" t="n">
        <v>3.9</v>
      </c>
      <c r="M23" s="22" t="n">
        <v>2270</v>
      </c>
      <c r="N23" s="22" t="n">
        <v>1398</v>
      </c>
    </row>
    <row r="24" customFormat="false" ht="15" hidden="false" customHeight="true" outlineLevel="0" collapsed="false">
      <c r="A24" s="21" t="s">
        <v>62</v>
      </c>
      <c r="B24" s="21" t="s">
        <v>61</v>
      </c>
      <c r="C24" s="21" t="n">
        <v>2023</v>
      </c>
      <c r="D24" s="22" t="n">
        <v>6298</v>
      </c>
      <c r="E24" s="22" t="n">
        <v>456</v>
      </c>
      <c r="F24" s="22" t="n">
        <v>123</v>
      </c>
      <c r="G24" s="22" t="n">
        <v>99</v>
      </c>
      <c r="H24" s="22" t="n">
        <v>3309</v>
      </c>
      <c r="I24" s="22" t="n">
        <v>1767</v>
      </c>
      <c r="J24" s="22" t="n">
        <v>6880</v>
      </c>
      <c r="K24" s="22" t="n">
        <v>2938</v>
      </c>
      <c r="L24" s="23" t="n">
        <v>1.22</v>
      </c>
      <c r="M24" s="22" t="n">
        <v>2638</v>
      </c>
      <c r="N24" s="22" t="n">
        <v>1705</v>
      </c>
    </row>
    <row r="25" customFormat="false" ht="15" hidden="false" customHeight="true" outlineLevel="0" collapsed="false">
      <c r="A25" s="21" t="s">
        <v>62</v>
      </c>
      <c r="B25" s="21" t="s">
        <v>61</v>
      </c>
      <c r="C25" s="21" t="n">
        <v>2024</v>
      </c>
      <c r="D25" s="22" t="n">
        <v>8085</v>
      </c>
      <c r="E25" s="22" t="n">
        <v>1012</v>
      </c>
      <c r="F25" s="22" t="n">
        <v>596</v>
      </c>
      <c r="G25" s="22" t="n">
        <v>97</v>
      </c>
      <c r="H25" s="22" t="n">
        <v>3644</v>
      </c>
      <c r="I25" s="22" t="n">
        <v>1965</v>
      </c>
      <c r="J25" s="22" t="n">
        <v>7515</v>
      </c>
      <c r="K25" s="22" t="n">
        <v>2879</v>
      </c>
      <c r="L25" s="23" t="n">
        <v>6.13</v>
      </c>
      <c r="M25" s="22" t="n">
        <v>3069</v>
      </c>
      <c r="N25" s="22" t="n">
        <v>1810</v>
      </c>
    </row>
    <row r="26" customFormat="false" ht="15" hidden="false" customHeight="true" outlineLevel="0" collapsed="false">
      <c r="A26" s="21" t="s">
        <v>62</v>
      </c>
      <c r="B26" s="21" t="s">
        <v>61</v>
      </c>
      <c r="C26" s="21" t="n">
        <v>2025</v>
      </c>
      <c r="D26" s="22" t="n">
        <v>8622</v>
      </c>
      <c r="E26" s="22" t="n">
        <v>907</v>
      </c>
      <c r="F26" s="22" t="n">
        <v>507</v>
      </c>
      <c r="G26" s="22" t="n">
        <v>96</v>
      </c>
      <c r="H26" s="22" t="n">
        <v>3809</v>
      </c>
      <c r="I26" s="22" t="n">
        <v>1678</v>
      </c>
      <c r="J26" s="22" t="n">
        <v>7508</v>
      </c>
      <c r="K26" s="22" t="n">
        <v>2933</v>
      </c>
      <c r="L26" s="23" t="n">
        <v>5.28</v>
      </c>
      <c r="M26" s="22" t="n">
        <v>3280</v>
      </c>
      <c r="N26" s="22" t="n">
        <v>1925</v>
      </c>
    </row>
    <row r="27" customFormat="false" ht="15" hidden="false" customHeight="true" outlineLevel="0" collapsed="false">
      <c r="A27" s="18" t="s">
        <v>63</v>
      </c>
      <c r="B27" s="18" t="s">
        <v>61</v>
      </c>
      <c r="C27" s="18" t="n">
        <v>2015</v>
      </c>
      <c r="D27" s="19" t="n">
        <v>1616</v>
      </c>
      <c r="E27" s="19" t="n">
        <v>237</v>
      </c>
      <c r="F27" s="19" t="n">
        <v>139</v>
      </c>
      <c r="G27" s="19" t="n">
        <v>39</v>
      </c>
      <c r="H27" s="19" t="n">
        <v>361</v>
      </c>
      <c r="I27" s="19" t="n">
        <v>333</v>
      </c>
      <c r="J27" s="19" t="n">
        <v>1153</v>
      </c>
      <c r="K27" s="19" t="n">
        <v>374</v>
      </c>
      <c r="L27" s="20" t="n">
        <v>7.04</v>
      </c>
      <c r="M27" s="19" t="n">
        <v>760</v>
      </c>
      <c r="N27" s="19" t="n">
        <v>420</v>
      </c>
    </row>
    <row r="28" customFormat="false" ht="15" hidden="false" customHeight="true" outlineLevel="0" collapsed="false">
      <c r="A28" s="18" t="s">
        <v>63</v>
      </c>
      <c r="B28" s="18" t="s">
        <v>61</v>
      </c>
      <c r="C28" s="18" t="n">
        <v>2016</v>
      </c>
      <c r="D28" s="19" t="n">
        <v>2001</v>
      </c>
      <c r="E28" s="19" t="n">
        <v>396</v>
      </c>
      <c r="F28" s="19" t="n">
        <v>238</v>
      </c>
      <c r="G28" s="19" t="n">
        <v>39</v>
      </c>
      <c r="H28" s="19" t="n">
        <v>574</v>
      </c>
      <c r="I28" s="19" t="n">
        <v>340</v>
      </c>
      <c r="J28" s="19" t="n">
        <v>1283</v>
      </c>
      <c r="K28" s="19" t="n">
        <v>466</v>
      </c>
      <c r="L28" s="20" t="n">
        <v>12.04</v>
      </c>
      <c r="M28" s="19" t="n">
        <v>798</v>
      </c>
      <c r="N28" s="19" t="n">
        <v>329</v>
      </c>
    </row>
    <row r="29" customFormat="false" ht="15" hidden="false" customHeight="true" outlineLevel="0" collapsed="false">
      <c r="A29" s="18" t="s">
        <v>63</v>
      </c>
      <c r="B29" s="18" t="s">
        <v>61</v>
      </c>
      <c r="C29" s="18" t="n">
        <v>2017</v>
      </c>
      <c r="D29" s="19" t="n">
        <v>1990</v>
      </c>
      <c r="E29" s="19" t="n">
        <v>325</v>
      </c>
      <c r="F29" s="19" t="n">
        <v>228</v>
      </c>
      <c r="G29" s="19" t="n">
        <v>39</v>
      </c>
      <c r="H29" s="19" t="n">
        <v>787</v>
      </c>
      <c r="I29" s="19" t="n">
        <v>267</v>
      </c>
      <c r="J29" s="19" t="n">
        <v>1440</v>
      </c>
      <c r="K29" s="19" t="n">
        <v>511</v>
      </c>
      <c r="L29" s="20" t="n">
        <v>11.55</v>
      </c>
      <c r="M29" s="19" t="n">
        <v>909</v>
      </c>
      <c r="N29" s="19" t="n">
        <v>346</v>
      </c>
    </row>
    <row r="30" customFormat="false" ht="15" hidden="false" customHeight="true" outlineLevel="0" collapsed="false">
      <c r="A30" s="18" t="s">
        <v>63</v>
      </c>
      <c r="B30" s="18" t="s">
        <v>61</v>
      </c>
      <c r="C30" s="18" t="n">
        <v>2018</v>
      </c>
      <c r="D30" s="19" t="n">
        <v>1709</v>
      </c>
      <c r="E30" s="19" t="n">
        <v>167</v>
      </c>
      <c r="F30" s="19" t="n">
        <v>131</v>
      </c>
      <c r="G30" s="19" t="n">
        <v>39</v>
      </c>
      <c r="H30" s="19" t="n">
        <v>899</v>
      </c>
      <c r="I30" s="19" t="n">
        <v>371</v>
      </c>
      <c r="J30" s="19" t="n">
        <v>1644</v>
      </c>
      <c r="K30" s="19" t="n">
        <v>535</v>
      </c>
      <c r="L30" s="20" t="n">
        <v>6.64</v>
      </c>
      <c r="M30" s="19" t="n">
        <v>1090</v>
      </c>
      <c r="N30" s="19" t="n">
        <v>335</v>
      </c>
    </row>
    <row r="31" customFormat="false" ht="15" hidden="false" customHeight="true" outlineLevel="0" collapsed="false">
      <c r="A31" s="18" t="s">
        <v>63</v>
      </c>
      <c r="B31" s="18" t="s">
        <v>61</v>
      </c>
      <c r="C31" s="18" t="n">
        <v>2019</v>
      </c>
      <c r="D31" s="19" t="n">
        <v>1813</v>
      </c>
      <c r="E31" s="19" t="n">
        <v>151</v>
      </c>
      <c r="F31" s="19" t="n">
        <v>59</v>
      </c>
      <c r="G31" s="19" t="n">
        <v>39</v>
      </c>
      <c r="H31" s="19" t="n">
        <v>921</v>
      </c>
      <c r="I31" s="19" t="n">
        <v>309</v>
      </c>
      <c r="J31" s="19" t="n">
        <v>1552</v>
      </c>
      <c r="K31" s="19" t="n">
        <v>560</v>
      </c>
      <c r="L31" s="20" t="n">
        <v>3</v>
      </c>
      <c r="M31" s="19" t="n">
        <v>920</v>
      </c>
      <c r="N31" s="19" t="n">
        <v>283</v>
      </c>
    </row>
    <row r="32" customFormat="false" ht="15" hidden="false" customHeight="true" outlineLevel="0" collapsed="false">
      <c r="A32" s="18" t="s">
        <v>63</v>
      </c>
      <c r="B32" s="18" t="s">
        <v>61</v>
      </c>
      <c r="C32" s="18" t="n">
        <v>2020</v>
      </c>
      <c r="D32" s="19" t="n">
        <v>1965</v>
      </c>
      <c r="E32" s="19" t="n">
        <v>178</v>
      </c>
      <c r="F32" s="19" t="n">
        <v>74</v>
      </c>
      <c r="G32" s="19" t="n">
        <v>39</v>
      </c>
      <c r="H32" s="19" t="n">
        <v>933</v>
      </c>
      <c r="I32" s="19" t="n">
        <v>348</v>
      </c>
      <c r="J32" s="19" t="n">
        <v>1659</v>
      </c>
      <c r="K32" s="19" t="n">
        <v>553</v>
      </c>
      <c r="L32" s="20" t="n">
        <v>3.74</v>
      </c>
      <c r="M32" s="19" t="n">
        <v>1081</v>
      </c>
      <c r="N32" s="19" t="n">
        <v>338</v>
      </c>
    </row>
    <row r="33" customFormat="false" ht="15" hidden="false" customHeight="true" outlineLevel="0" collapsed="false">
      <c r="A33" s="18" t="s">
        <v>63</v>
      </c>
      <c r="B33" s="18" t="s">
        <v>61</v>
      </c>
      <c r="C33" s="18" t="n">
        <v>2021</v>
      </c>
      <c r="D33" s="19" t="n">
        <v>2515</v>
      </c>
      <c r="E33" s="19" t="n">
        <v>384</v>
      </c>
      <c r="F33" s="19" t="n">
        <v>260</v>
      </c>
      <c r="G33" s="19" t="n">
        <v>39</v>
      </c>
      <c r="H33" s="19" t="n">
        <v>1235</v>
      </c>
      <c r="I33" s="19" t="n">
        <v>546</v>
      </c>
      <c r="J33" s="19" t="n">
        <v>2247</v>
      </c>
      <c r="K33" s="19" t="n">
        <v>543</v>
      </c>
      <c r="L33" s="20" t="n">
        <v>13.18</v>
      </c>
      <c r="M33" s="19" t="n">
        <v>1512</v>
      </c>
      <c r="N33" s="19" t="n">
        <v>426</v>
      </c>
    </row>
    <row r="34" customFormat="false" ht="15" hidden="false" customHeight="true" outlineLevel="0" collapsed="false">
      <c r="A34" s="18" t="s">
        <v>63</v>
      </c>
      <c r="B34" s="18" t="s">
        <v>61</v>
      </c>
      <c r="C34" s="18" t="n">
        <v>2022</v>
      </c>
      <c r="D34" s="19" t="n">
        <v>2806</v>
      </c>
      <c r="E34" s="19" t="n">
        <v>402</v>
      </c>
      <c r="F34" s="19" t="n">
        <v>339</v>
      </c>
      <c r="G34" s="19" t="n">
        <v>39</v>
      </c>
      <c r="H34" s="19" t="n">
        <v>1537</v>
      </c>
      <c r="I34" s="19" t="n">
        <v>1214</v>
      </c>
      <c r="J34" s="19" t="n">
        <v>3090</v>
      </c>
      <c r="K34" s="19" t="n">
        <v>650</v>
      </c>
      <c r="L34" s="20" t="n">
        <v>17.16</v>
      </c>
      <c r="M34" s="19" t="n">
        <v>2428</v>
      </c>
      <c r="N34" s="19" t="n">
        <v>300</v>
      </c>
    </row>
    <row r="35" customFormat="false" ht="15" hidden="false" customHeight="true" outlineLevel="0" collapsed="false">
      <c r="A35" s="18" t="s">
        <v>63</v>
      </c>
      <c r="B35" s="18" t="s">
        <v>61</v>
      </c>
      <c r="C35" s="18" t="n">
        <v>2023</v>
      </c>
      <c r="D35" s="19" t="n">
        <v>2784</v>
      </c>
      <c r="E35" s="19" t="n">
        <v>411</v>
      </c>
      <c r="F35" s="19" t="n">
        <v>238</v>
      </c>
      <c r="G35" s="19" t="n">
        <v>40</v>
      </c>
      <c r="H35" s="19" t="n">
        <v>1725</v>
      </c>
      <c r="I35" s="19" t="n">
        <v>853</v>
      </c>
      <c r="J35" s="19" t="n">
        <v>2983</v>
      </c>
      <c r="K35" s="19" t="n">
        <v>1243</v>
      </c>
      <c r="L35" s="20" t="n">
        <v>12.03</v>
      </c>
      <c r="M35" s="19" t="n">
        <v>1585</v>
      </c>
      <c r="N35" s="19" t="n">
        <v>365</v>
      </c>
    </row>
    <row r="36" customFormat="false" ht="15" hidden="false" customHeight="true" outlineLevel="0" collapsed="false">
      <c r="A36" s="18" t="s">
        <v>63</v>
      </c>
      <c r="B36" s="18" t="s">
        <v>61</v>
      </c>
      <c r="C36" s="18" t="n">
        <v>2024</v>
      </c>
      <c r="D36" s="19" t="n">
        <v>3332</v>
      </c>
      <c r="E36" s="19" t="n">
        <v>526</v>
      </c>
      <c r="F36" s="19" t="n">
        <v>320</v>
      </c>
      <c r="G36" s="19" t="n">
        <v>40</v>
      </c>
      <c r="H36" s="19" t="n">
        <v>2008</v>
      </c>
      <c r="I36" s="19" t="n">
        <v>936</v>
      </c>
      <c r="J36" s="19" t="n">
        <v>3493</v>
      </c>
      <c r="K36" s="19" t="n">
        <v>1344</v>
      </c>
      <c r="L36" s="20" t="n">
        <v>16.17</v>
      </c>
      <c r="M36" s="19" t="n">
        <v>2007</v>
      </c>
      <c r="N36" s="19" t="n">
        <v>510</v>
      </c>
    </row>
    <row r="37" customFormat="false" ht="15" hidden="false" customHeight="true" outlineLevel="0" collapsed="false">
      <c r="A37" s="18" t="s">
        <v>63</v>
      </c>
      <c r="B37" s="18" t="s">
        <v>61</v>
      </c>
      <c r="C37" s="18" t="n">
        <v>2025</v>
      </c>
      <c r="D37" s="19" t="n">
        <v>3772</v>
      </c>
      <c r="E37" s="19" t="n">
        <v>465</v>
      </c>
      <c r="F37" s="19" t="n">
        <v>237</v>
      </c>
      <c r="G37" s="19" t="n">
        <v>40</v>
      </c>
      <c r="H37" s="19" t="n">
        <v>2197</v>
      </c>
      <c r="I37" s="19" t="n">
        <v>1061</v>
      </c>
      <c r="J37" s="19" t="n">
        <v>3695</v>
      </c>
      <c r="K37" s="19" t="n">
        <v>1381</v>
      </c>
      <c r="L37" s="20" t="n">
        <v>11.98</v>
      </c>
      <c r="M37" s="19" t="n">
        <v>2123</v>
      </c>
      <c r="N37" s="19" t="n">
        <v>398</v>
      </c>
    </row>
    <row r="38" customFormat="false" ht="15" hidden="false" customHeight="true" outlineLevel="0" collapsed="false">
      <c r="A38" s="21" t="s">
        <v>64</v>
      </c>
      <c r="B38" s="21" t="s">
        <v>61</v>
      </c>
      <c r="C38" s="21" t="n">
        <v>2015</v>
      </c>
      <c r="D38" s="22" t="n">
        <v>5730</v>
      </c>
      <c r="E38" s="22" t="n">
        <v>942</v>
      </c>
      <c r="F38" s="22" t="n">
        <v>359</v>
      </c>
      <c r="G38" s="22" t="n">
        <v>64</v>
      </c>
      <c r="H38" s="22" t="n">
        <v>3020</v>
      </c>
      <c r="I38" s="22" t="n">
        <v>2506</v>
      </c>
      <c r="J38" s="22" t="n">
        <v>6305</v>
      </c>
      <c r="K38" s="22" t="n">
        <v>2573</v>
      </c>
      <c r="L38" s="23" t="n">
        <v>11.28</v>
      </c>
      <c r="M38" s="22" t="n">
        <v>3058</v>
      </c>
      <c r="N38" s="22" t="n">
        <v>716</v>
      </c>
    </row>
    <row r="39" customFormat="false" ht="15" hidden="false" customHeight="true" outlineLevel="0" collapsed="false">
      <c r="A39" s="21" t="s">
        <v>64</v>
      </c>
      <c r="B39" s="21" t="s">
        <v>61</v>
      </c>
      <c r="C39" s="21" t="n">
        <v>2016</v>
      </c>
      <c r="D39" s="22" t="n">
        <v>5602</v>
      </c>
      <c r="E39" s="22" t="n">
        <v>1108</v>
      </c>
      <c r="F39" s="22" t="n">
        <v>676</v>
      </c>
      <c r="G39" s="22" t="n">
        <v>62</v>
      </c>
      <c r="H39" s="22" t="n">
        <v>3628</v>
      </c>
      <c r="I39" s="22" t="n">
        <v>2596</v>
      </c>
      <c r="J39" s="22" t="n">
        <v>6985</v>
      </c>
      <c r="K39" s="22" t="n">
        <v>2585</v>
      </c>
      <c r="L39" s="23" t="n">
        <v>21.25</v>
      </c>
      <c r="M39" s="22" t="n">
        <v>3330</v>
      </c>
      <c r="N39" s="22" t="n">
        <v>700</v>
      </c>
    </row>
    <row r="40" customFormat="false" ht="15" hidden="false" customHeight="true" outlineLevel="0" collapsed="false">
      <c r="A40" s="21" t="s">
        <v>64</v>
      </c>
      <c r="B40" s="21" t="s">
        <v>61</v>
      </c>
      <c r="C40" s="21" t="n">
        <v>2017</v>
      </c>
      <c r="D40" s="22" t="n">
        <v>5691</v>
      </c>
      <c r="E40" s="22" t="n">
        <v>1131</v>
      </c>
      <c r="F40" s="22" t="n">
        <v>1002</v>
      </c>
      <c r="G40" s="22" t="n">
        <v>56</v>
      </c>
      <c r="H40" s="22" t="n">
        <v>3930</v>
      </c>
      <c r="I40" s="22" t="n">
        <v>2198</v>
      </c>
      <c r="J40" s="22" t="n">
        <v>6959</v>
      </c>
      <c r="K40" s="22" t="n">
        <v>2507</v>
      </c>
      <c r="L40" s="23" t="n">
        <v>34.87</v>
      </c>
      <c r="M40" s="22" t="n">
        <v>2809</v>
      </c>
      <c r="N40" s="22" t="n">
        <v>775</v>
      </c>
    </row>
    <row r="41" customFormat="false" ht="15" hidden="false" customHeight="true" outlineLevel="0" collapsed="false">
      <c r="A41" s="21" t="s">
        <v>64</v>
      </c>
      <c r="B41" s="21" t="s">
        <v>61</v>
      </c>
      <c r="C41" s="21" t="n">
        <v>2018</v>
      </c>
      <c r="D41" s="22" t="n">
        <v>5851</v>
      </c>
      <c r="E41" s="22" t="n">
        <v>859</v>
      </c>
      <c r="F41" s="22" t="n">
        <v>546</v>
      </c>
      <c r="G41" s="22" t="n">
        <v>57</v>
      </c>
      <c r="H41" s="22" t="n">
        <v>4575</v>
      </c>
      <c r="I41" s="22" t="n">
        <v>2282</v>
      </c>
      <c r="J41" s="22" t="n">
        <v>7696</v>
      </c>
      <c r="K41" s="22" t="n">
        <v>2612</v>
      </c>
      <c r="L41" s="23" t="n">
        <v>19</v>
      </c>
      <c r="M41" s="22" t="n">
        <v>3492</v>
      </c>
      <c r="N41" s="22" t="n">
        <v>782</v>
      </c>
    </row>
    <row r="42" customFormat="false" ht="15" hidden="false" customHeight="true" outlineLevel="0" collapsed="false">
      <c r="A42" s="21" t="s">
        <v>64</v>
      </c>
      <c r="B42" s="21" t="s">
        <v>61</v>
      </c>
      <c r="C42" s="21" t="n">
        <v>2019</v>
      </c>
      <c r="D42" s="22" t="n">
        <v>6415</v>
      </c>
      <c r="E42" s="22" t="n">
        <v>1132</v>
      </c>
      <c r="F42" s="22" t="n">
        <v>696</v>
      </c>
      <c r="G42" s="22" t="n">
        <v>57</v>
      </c>
      <c r="H42" s="22" t="n">
        <v>5182</v>
      </c>
      <c r="I42" s="22" t="n">
        <v>2238</v>
      </c>
      <c r="J42" s="22" t="n">
        <v>8369</v>
      </c>
      <c r="K42" s="22" t="n">
        <v>3333</v>
      </c>
      <c r="L42" s="23" t="n">
        <v>24.21</v>
      </c>
      <c r="M42" s="22" t="n">
        <v>3950</v>
      </c>
      <c r="N42" s="22" t="n">
        <v>892</v>
      </c>
    </row>
    <row r="43" customFormat="false" ht="15" hidden="false" customHeight="true" outlineLevel="0" collapsed="false">
      <c r="A43" s="21" t="s">
        <v>64</v>
      </c>
      <c r="B43" s="21" t="s">
        <v>61</v>
      </c>
      <c r="C43" s="21" t="n">
        <v>2020</v>
      </c>
      <c r="D43" s="22" t="n">
        <v>6325</v>
      </c>
      <c r="E43" s="22" t="n">
        <v>883</v>
      </c>
      <c r="F43" s="22" t="n">
        <v>545</v>
      </c>
      <c r="G43" s="22" t="n">
        <v>58</v>
      </c>
      <c r="H43" s="22" t="n">
        <v>5609</v>
      </c>
      <c r="I43" s="22" t="n">
        <v>2197</v>
      </c>
      <c r="J43" s="22" t="n">
        <v>8727</v>
      </c>
      <c r="K43" s="22" t="n">
        <v>3620</v>
      </c>
      <c r="L43" s="23" t="n">
        <v>18.97</v>
      </c>
      <c r="M43" s="22" t="n">
        <v>4075</v>
      </c>
      <c r="N43" s="22" t="n">
        <v>864</v>
      </c>
    </row>
    <row r="44" customFormat="false" ht="15" hidden="false" customHeight="true" outlineLevel="0" collapsed="false">
      <c r="A44" s="21" t="s">
        <v>64</v>
      </c>
      <c r="B44" s="21" t="s">
        <v>61</v>
      </c>
      <c r="C44" s="21" t="n">
        <v>2021</v>
      </c>
      <c r="D44" s="22" t="n">
        <v>5926</v>
      </c>
      <c r="E44" s="22" t="n">
        <v>767</v>
      </c>
      <c r="F44" s="22" t="n">
        <v>367</v>
      </c>
      <c r="G44" s="22" t="n">
        <v>58</v>
      </c>
      <c r="H44" s="22" t="n">
        <v>6081</v>
      </c>
      <c r="I44" s="22" t="n">
        <v>2132</v>
      </c>
      <c r="J44" s="22" t="n">
        <v>9064</v>
      </c>
      <c r="K44" s="22" t="n">
        <v>3546</v>
      </c>
      <c r="L44" s="23" t="n">
        <v>12.74</v>
      </c>
      <c r="M44" s="22" t="n">
        <v>4705</v>
      </c>
      <c r="N44" s="22" t="n">
        <v>793</v>
      </c>
    </row>
    <row r="45" customFormat="false" ht="15" hidden="false" customHeight="true" outlineLevel="0" collapsed="false">
      <c r="A45" s="21" t="s">
        <v>64</v>
      </c>
      <c r="B45" s="21" t="s">
        <v>61</v>
      </c>
      <c r="C45" s="21" t="n">
        <v>2022</v>
      </c>
      <c r="D45" s="22" t="n">
        <v>9386</v>
      </c>
      <c r="E45" s="22" t="n">
        <v>2262</v>
      </c>
      <c r="F45" s="22" t="n">
        <v>1677</v>
      </c>
      <c r="G45" s="22" t="n">
        <v>58</v>
      </c>
      <c r="H45" s="22" t="n">
        <v>7481</v>
      </c>
      <c r="I45" s="22" t="n">
        <v>1980</v>
      </c>
      <c r="J45" s="22" t="n">
        <v>10576</v>
      </c>
      <c r="K45" s="22" t="n">
        <v>3677</v>
      </c>
      <c r="L45" s="23" t="n">
        <v>58.07</v>
      </c>
      <c r="M45" s="22" t="n">
        <v>5441</v>
      </c>
      <c r="N45" s="22" t="n">
        <v>1056</v>
      </c>
    </row>
    <row r="46" customFormat="false" ht="15" hidden="false" customHeight="true" outlineLevel="0" collapsed="false">
      <c r="A46" s="21" t="s">
        <v>64</v>
      </c>
      <c r="B46" s="21" t="s">
        <v>61</v>
      </c>
      <c r="C46" s="21" t="n">
        <v>2023</v>
      </c>
      <c r="D46" s="22" t="n">
        <v>9841</v>
      </c>
      <c r="E46" s="22" t="n">
        <v>1285</v>
      </c>
      <c r="F46" s="22" t="n">
        <v>749</v>
      </c>
      <c r="G46" s="22" t="n">
        <v>58</v>
      </c>
      <c r="H46" s="22" t="n">
        <v>8236</v>
      </c>
      <c r="I46" s="22" t="n">
        <v>1677</v>
      </c>
      <c r="J46" s="22" t="n">
        <v>10861</v>
      </c>
      <c r="K46" s="22" t="n">
        <v>3927</v>
      </c>
      <c r="L46" s="23" t="n">
        <v>25.91</v>
      </c>
      <c r="M46" s="22" t="n">
        <v>4687</v>
      </c>
      <c r="N46" s="22" t="n">
        <v>890</v>
      </c>
    </row>
    <row r="47" customFormat="false" ht="15" hidden="false" customHeight="true" outlineLevel="0" collapsed="false">
      <c r="A47" s="21" t="s">
        <v>64</v>
      </c>
      <c r="B47" s="21" t="s">
        <v>61</v>
      </c>
      <c r="C47" s="21" t="n">
        <v>2024</v>
      </c>
      <c r="D47" s="22" t="n">
        <v>9299</v>
      </c>
      <c r="E47" s="22" t="n">
        <v>958</v>
      </c>
      <c r="F47" s="22" t="n">
        <v>608</v>
      </c>
      <c r="G47" s="22" t="n">
        <v>58</v>
      </c>
      <c r="H47" s="22" t="n">
        <v>8747</v>
      </c>
      <c r="I47" s="22" t="n">
        <v>1790</v>
      </c>
      <c r="J47" s="22" t="n">
        <v>11487</v>
      </c>
      <c r="K47" s="22" t="n">
        <v>3772</v>
      </c>
      <c r="L47" s="23" t="n">
        <v>21.01</v>
      </c>
      <c r="M47" s="22" t="n">
        <v>6353</v>
      </c>
      <c r="N47" s="22" t="n">
        <v>891</v>
      </c>
    </row>
    <row r="48" customFormat="false" ht="15" hidden="false" customHeight="true" outlineLevel="0" collapsed="false">
      <c r="A48" s="21" t="s">
        <v>64</v>
      </c>
      <c r="B48" s="21" t="s">
        <v>61</v>
      </c>
      <c r="C48" s="21" t="n">
        <v>2025</v>
      </c>
      <c r="D48" s="22" t="n">
        <v>9587</v>
      </c>
      <c r="E48" s="22" t="n">
        <v>1257</v>
      </c>
      <c r="F48" s="22" t="n">
        <v>879</v>
      </c>
      <c r="G48" s="22" t="n">
        <v>58</v>
      </c>
      <c r="H48" s="22" t="n">
        <v>9520</v>
      </c>
      <c r="I48" s="22" t="n">
        <v>1238</v>
      </c>
      <c r="J48" s="22" t="n">
        <v>11900</v>
      </c>
      <c r="K48" s="22" t="n">
        <v>4342</v>
      </c>
      <c r="L48" s="23" t="n">
        <v>30.4</v>
      </c>
      <c r="M48" s="22" t="n">
        <v>6081</v>
      </c>
      <c r="N48" s="22" t="n">
        <v>1084</v>
      </c>
    </row>
    <row r="49" customFormat="false" ht="15" hidden="false" customHeight="true" outlineLevel="0" collapsed="false">
      <c r="A49" s="18" t="s">
        <v>65</v>
      </c>
      <c r="B49" s="18" t="s">
        <v>61</v>
      </c>
      <c r="C49" s="18" t="n">
        <v>2015</v>
      </c>
      <c r="D49" s="19" t="n">
        <v>3735</v>
      </c>
      <c r="E49" s="19" t="n">
        <v>661</v>
      </c>
      <c r="F49" s="19" t="n">
        <v>118</v>
      </c>
      <c r="G49" s="19" t="n">
        <v>509</v>
      </c>
      <c r="H49" s="19" t="n">
        <v>947</v>
      </c>
      <c r="I49" s="19" t="n">
        <v>2580</v>
      </c>
      <c r="J49" s="19" t="n">
        <v>4504</v>
      </c>
      <c r="K49" s="19" t="n">
        <v>3086</v>
      </c>
      <c r="L49" s="20" t="n">
        <v>0.23</v>
      </c>
      <c r="M49" s="19" t="n">
        <v>1387</v>
      </c>
      <c r="N49" s="19" t="n">
        <v>468</v>
      </c>
    </row>
    <row r="50" customFormat="false" ht="15" hidden="false" customHeight="true" outlineLevel="0" collapsed="false">
      <c r="A50" s="18" t="s">
        <v>65</v>
      </c>
      <c r="B50" s="18" t="s">
        <v>61</v>
      </c>
      <c r="C50" s="18" t="n">
        <v>2016</v>
      </c>
      <c r="D50" s="19" t="n">
        <v>3665</v>
      </c>
      <c r="E50" s="19" t="n">
        <v>730</v>
      </c>
      <c r="F50" s="19" t="n">
        <v>242</v>
      </c>
      <c r="G50" s="19" t="n">
        <v>509</v>
      </c>
      <c r="H50" s="19" t="n">
        <v>1906</v>
      </c>
      <c r="I50" s="19" t="n">
        <v>3503</v>
      </c>
      <c r="J50" s="19" t="n">
        <v>6506</v>
      </c>
      <c r="K50" s="19" t="n">
        <v>4755</v>
      </c>
      <c r="L50" s="20" t="n">
        <v>0.48</v>
      </c>
      <c r="M50" s="19" t="n">
        <v>1699</v>
      </c>
      <c r="N50" s="19" t="n">
        <v>588</v>
      </c>
    </row>
    <row r="51" customFormat="false" ht="15" hidden="false" customHeight="true" outlineLevel="0" collapsed="false">
      <c r="A51" s="18" t="s">
        <v>65</v>
      </c>
      <c r="B51" s="18" t="s">
        <v>61</v>
      </c>
      <c r="C51" s="18" t="n">
        <v>2017</v>
      </c>
      <c r="D51" s="19" t="n">
        <v>4617</v>
      </c>
      <c r="E51" s="19" t="n">
        <v>886</v>
      </c>
      <c r="F51" s="19" t="n">
        <v>337</v>
      </c>
      <c r="G51" s="19" t="n">
        <v>510</v>
      </c>
      <c r="H51" s="19" t="n">
        <v>2215</v>
      </c>
      <c r="I51" s="19" t="n">
        <v>2849</v>
      </c>
      <c r="J51" s="19" t="n">
        <v>6150</v>
      </c>
      <c r="K51" s="19" t="n">
        <v>4467</v>
      </c>
      <c r="L51" s="20" t="n">
        <v>0.66</v>
      </c>
      <c r="M51" s="19" t="n">
        <v>1608</v>
      </c>
      <c r="N51" s="19" t="n">
        <v>576</v>
      </c>
    </row>
    <row r="52" customFormat="false" ht="15" hidden="false" customHeight="true" outlineLevel="0" collapsed="false">
      <c r="A52" s="18" t="s">
        <v>65</v>
      </c>
      <c r="B52" s="18" t="s">
        <v>61</v>
      </c>
      <c r="C52" s="18" t="n">
        <v>2018</v>
      </c>
      <c r="D52" s="19" t="n">
        <v>4566</v>
      </c>
      <c r="E52" s="19" t="n">
        <v>852</v>
      </c>
      <c r="F52" s="19" t="n">
        <v>266</v>
      </c>
      <c r="G52" s="19" t="n">
        <v>510</v>
      </c>
      <c r="H52" s="19" t="n">
        <v>2184</v>
      </c>
      <c r="I52" s="19" t="n">
        <v>2798</v>
      </c>
      <c r="J52" s="19" t="n">
        <v>6129</v>
      </c>
      <c r="K52" s="19" t="n">
        <v>4079</v>
      </c>
      <c r="L52" s="20" t="n">
        <v>0.52</v>
      </c>
      <c r="M52" s="19" t="n">
        <v>1967</v>
      </c>
      <c r="N52" s="19" t="n">
        <v>638</v>
      </c>
    </row>
    <row r="53" customFormat="false" ht="15" hidden="false" customHeight="true" outlineLevel="0" collapsed="false">
      <c r="A53" s="18" t="s">
        <v>65</v>
      </c>
      <c r="B53" s="18" t="s">
        <v>61</v>
      </c>
      <c r="C53" s="18" t="n">
        <v>2019</v>
      </c>
      <c r="D53" s="19" t="n">
        <v>5220</v>
      </c>
      <c r="E53" s="19" t="n">
        <v>977</v>
      </c>
      <c r="F53" s="19" t="n">
        <v>371</v>
      </c>
      <c r="G53" s="19" t="n">
        <v>510</v>
      </c>
      <c r="H53" s="19" t="n">
        <v>2422</v>
      </c>
      <c r="I53" s="19" t="n">
        <v>2436</v>
      </c>
      <c r="J53" s="19" t="n">
        <v>6103</v>
      </c>
      <c r="K53" s="19" t="n">
        <v>3848</v>
      </c>
      <c r="L53" s="20" t="n">
        <v>0.73</v>
      </c>
      <c r="M53" s="19" t="n">
        <v>2095</v>
      </c>
      <c r="N53" s="19" t="n">
        <v>736</v>
      </c>
    </row>
    <row r="54" customFormat="false" ht="15" hidden="false" customHeight="true" outlineLevel="0" collapsed="false">
      <c r="A54" s="18" t="s">
        <v>65</v>
      </c>
      <c r="B54" s="18" t="s">
        <v>61</v>
      </c>
      <c r="C54" s="18" t="n">
        <v>2020</v>
      </c>
      <c r="D54" s="19" t="n">
        <v>4699</v>
      </c>
      <c r="E54" s="19" t="n">
        <v>841</v>
      </c>
      <c r="F54" s="19" t="n">
        <v>342</v>
      </c>
      <c r="G54" s="19" t="n">
        <v>510</v>
      </c>
      <c r="H54" s="19" t="n">
        <v>2457</v>
      </c>
      <c r="I54" s="19" t="n">
        <v>1991</v>
      </c>
      <c r="J54" s="19" t="n">
        <v>5718</v>
      </c>
      <c r="K54" s="19" t="n">
        <v>3826</v>
      </c>
      <c r="L54" s="20" t="n">
        <v>0.67</v>
      </c>
      <c r="M54" s="19" t="n">
        <v>1813</v>
      </c>
      <c r="N54" s="19" t="n">
        <v>761</v>
      </c>
    </row>
    <row r="55" customFormat="false" ht="15" hidden="false" customHeight="true" outlineLevel="0" collapsed="false">
      <c r="A55" s="18" t="s">
        <v>65</v>
      </c>
      <c r="B55" s="18" t="s">
        <v>61</v>
      </c>
      <c r="C55" s="18" t="n">
        <v>2021</v>
      </c>
      <c r="D55" s="19" t="n">
        <v>4519</v>
      </c>
      <c r="E55" s="19" t="n">
        <v>814</v>
      </c>
      <c r="F55" s="19" t="n">
        <v>346</v>
      </c>
      <c r="G55" s="19" t="n">
        <v>510</v>
      </c>
      <c r="H55" s="19" t="n">
        <v>2807</v>
      </c>
      <c r="I55" s="19" t="n">
        <v>1562</v>
      </c>
      <c r="J55" s="19" t="n">
        <v>5754</v>
      </c>
      <c r="K55" s="19" t="n">
        <v>3854</v>
      </c>
      <c r="L55" s="20" t="n">
        <v>0.68</v>
      </c>
      <c r="M55" s="19" t="n">
        <v>1896</v>
      </c>
      <c r="N55" s="19" t="n">
        <v>876</v>
      </c>
    </row>
    <row r="56" customFormat="false" ht="15" hidden="false" customHeight="true" outlineLevel="0" collapsed="false">
      <c r="A56" s="18" t="s">
        <v>65</v>
      </c>
      <c r="B56" s="18" t="s">
        <v>61</v>
      </c>
      <c r="C56" s="18" t="n">
        <v>2022</v>
      </c>
      <c r="D56" s="19" t="n">
        <v>6919</v>
      </c>
      <c r="E56" s="19" t="n">
        <v>1495</v>
      </c>
      <c r="F56" s="19" t="n">
        <v>815</v>
      </c>
      <c r="G56" s="19" t="n">
        <v>510</v>
      </c>
      <c r="H56" s="19" t="n">
        <v>3288</v>
      </c>
      <c r="I56" s="19" t="n">
        <v>1596</v>
      </c>
      <c r="J56" s="19" t="n">
        <v>6431</v>
      </c>
      <c r="K56" s="19" t="n">
        <v>3795</v>
      </c>
      <c r="L56" s="20" t="n">
        <v>1.6</v>
      </c>
      <c r="M56" s="19" t="n">
        <v>2632</v>
      </c>
      <c r="N56" s="19" t="n">
        <v>1037</v>
      </c>
    </row>
    <row r="57" customFormat="false" ht="15" hidden="false" customHeight="true" outlineLevel="0" collapsed="false">
      <c r="A57" s="18" t="s">
        <v>65</v>
      </c>
      <c r="B57" s="18" t="s">
        <v>61</v>
      </c>
      <c r="C57" s="18" t="n">
        <v>2023</v>
      </c>
      <c r="D57" s="19" t="n">
        <v>6267</v>
      </c>
      <c r="E57" s="19" t="n">
        <v>918</v>
      </c>
      <c r="F57" s="19" t="n">
        <v>422</v>
      </c>
      <c r="G57" s="19" t="n">
        <v>510</v>
      </c>
      <c r="H57" s="19" t="n">
        <v>3616</v>
      </c>
      <c r="I57" s="19" t="n">
        <v>1404</v>
      </c>
      <c r="J57" s="19" t="n">
        <v>6713</v>
      </c>
      <c r="K57" s="19" t="n">
        <v>4422</v>
      </c>
      <c r="L57" s="20" t="n">
        <v>0.83</v>
      </c>
      <c r="M57" s="19" t="n">
        <v>2288</v>
      </c>
      <c r="N57" s="19" t="n">
        <v>1184</v>
      </c>
    </row>
    <row r="58" customFormat="false" ht="15" hidden="false" customHeight="true" outlineLevel="0" collapsed="false">
      <c r="A58" s="18" t="s">
        <v>65</v>
      </c>
      <c r="B58" s="18" t="s">
        <v>61</v>
      </c>
      <c r="C58" s="18" t="n">
        <v>2024</v>
      </c>
      <c r="D58" s="19" t="n">
        <v>6730</v>
      </c>
      <c r="E58" s="19" t="n">
        <v>935</v>
      </c>
      <c r="F58" s="19" t="n">
        <v>390</v>
      </c>
      <c r="G58" s="19" t="n">
        <v>510</v>
      </c>
      <c r="H58" s="19" t="n">
        <v>3800</v>
      </c>
      <c r="I58" s="19" t="n">
        <v>2094</v>
      </c>
      <c r="J58" s="19" t="n">
        <v>7522</v>
      </c>
      <c r="K58" s="19" t="n">
        <v>4663</v>
      </c>
      <c r="L58" s="20" t="n">
        <v>0.76</v>
      </c>
      <c r="M58" s="19" t="n">
        <v>2808</v>
      </c>
      <c r="N58" s="19" t="n">
        <v>1119</v>
      </c>
    </row>
    <row r="59" customFormat="false" ht="15" hidden="false" customHeight="true" outlineLevel="0" collapsed="false">
      <c r="A59" s="18" t="s">
        <v>65</v>
      </c>
      <c r="B59" s="18" t="s">
        <v>61</v>
      </c>
      <c r="C59" s="18" t="n">
        <v>2025</v>
      </c>
      <c r="D59" s="19" t="n">
        <v>6966</v>
      </c>
      <c r="E59" s="19" t="n">
        <v>886</v>
      </c>
      <c r="F59" s="19" t="n">
        <v>367</v>
      </c>
      <c r="G59" s="19" t="n">
        <v>510</v>
      </c>
      <c r="H59" s="19" t="n">
        <v>4101</v>
      </c>
      <c r="I59" s="19" t="n">
        <v>1606</v>
      </c>
      <c r="J59" s="19" t="n">
        <v>7129</v>
      </c>
      <c r="K59" s="19" t="n">
        <v>4478</v>
      </c>
      <c r="L59" s="20" t="n">
        <v>0.72</v>
      </c>
      <c r="M59" s="19" t="n">
        <v>2631</v>
      </c>
      <c r="N59" s="19" t="n">
        <v>913</v>
      </c>
    </row>
    <row r="60" customFormat="false" ht="15" hidden="false" customHeight="true" outlineLevel="0" collapsed="false">
      <c r="A60" s="21" t="s">
        <v>66</v>
      </c>
      <c r="B60" s="21" t="s">
        <v>61</v>
      </c>
      <c r="C60" s="21" t="n">
        <v>2015</v>
      </c>
      <c r="D60" s="22" t="n">
        <v>5225</v>
      </c>
      <c r="E60" s="22" t="n">
        <v>845</v>
      </c>
      <c r="F60" s="22" t="n">
        <v>377</v>
      </c>
      <c r="G60" s="22" t="n">
        <v>258</v>
      </c>
      <c r="H60" s="22" t="n">
        <v>2587</v>
      </c>
      <c r="I60" s="22" t="n">
        <v>2750</v>
      </c>
      <c r="J60" s="22" t="n">
        <v>6652</v>
      </c>
      <c r="K60" s="22" t="n">
        <v>2696</v>
      </c>
      <c r="L60" s="23" t="n">
        <v>14.62</v>
      </c>
      <c r="M60" s="22" t="n">
        <v>3071</v>
      </c>
      <c r="N60" s="22" t="n">
        <v>1057</v>
      </c>
    </row>
    <row r="61" customFormat="false" ht="15" hidden="false" customHeight="true" outlineLevel="0" collapsed="false">
      <c r="A61" s="21" t="s">
        <v>66</v>
      </c>
      <c r="B61" s="21" t="s">
        <v>61</v>
      </c>
      <c r="C61" s="21" t="n">
        <v>2016</v>
      </c>
      <c r="D61" s="22" t="n">
        <v>5357</v>
      </c>
      <c r="E61" s="22" t="n">
        <v>808</v>
      </c>
      <c r="F61" s="22" t="n">
        <v>321</v>
      </c>
      <c r="G61" s="22" t="n">
        <v>258</v>
      </c>
      <c r="H61" s="22" t="n">
        <v>2728</v>
      </c>
      <c r="I61" s="22" t="n">
        <v>3123</v>
      </c>
      <c r="J61" s="22" t="n">
        <v>6990</v>
      </c>
      <c r="K61" s="22" t="n">
        <v>2928</v>
      </c>
      <c r="L61" s="23" t="n">
        <v>12.42</v>
      </c>
      <c r="M61" s="22" t="n">
        <v>2796</v>
      </c>
      <c r="N61" s="22" t="n">
        <v>880</v>
      </c>
    </row>
    <row r="62" customFormat="false" ht="15" hidden="false" customHeight="true" outlineLevel="0" collapsed="false">
      <c r="A62" s="21" t="s">
        <v>66</v>
      </c>
      <c r="B62" s="21" t="s">
        <v>61</v>
      </c>
      <c r="C62" s="21" t="n">
        <v>2017</v>
      </c>
      <c r="D62" s="22" t="n">
        <v>5967</v>
      </c>
      <c r="E62" s="22" t="n">
        <v>732</v>
      </c>
      <c r="F62" s="22" t="n">
        <v>19</v>
      </c>
      <c r="G62" s="22" t="n">
        <v>258</v>
      </c>
      <c r="H62" s="22" t="n">
        <v>2753</v>
      </c>
      <c r="I62" s="22" t="n">
        <v>2428</v>
      </c>
      <c r="J62" s="22" t="n">
        <v>6458</v>
      </c>
      <c r="K62" s="22" t="n">
        <v>3177</v>
      </c>
      <c r="L62" s="23" t="n">
        <v>0.72</v>
      </c>
      <c r="M62" s="22" t="n">
        <v>2759</v>
      </c>
      <c r="N62" s="22" t="n">
        <v>1018</v>
      </c>
    </row>
    <row r="63" customFormat="false" ht="15" hidden="false" customHeight="true" outlineLevel="0" collapsed="false">
      <c r="A63" s="21" t="s">
        <v>66</v>
      </c>
      <c r="B63" s="21" t="s">
        <v>61</v>
      </c>
      <c r="C63" s="21" t="n">
        <v>2018</v>
      </c>
      <c r="D63" s="22" t="n">
        <v>6332</v>
      </c>
      <c r="E63" s="22" t="n">
        <v>639</v>
      </c>
      <c r="F63" s="22" t="n">
        <v>250</v>
      </c>
      <c r="G63" s="22" t="n">
        <v>259</v>
      </c>
      <c r="H63" s="22" t="n">
        <v>2900</v>
      </c>
      <c r="I63" s="22" t="n">
        <v>2562</v>
      </c>
      <c r="J63" s="22" t="n">
        <v>7044</v>
      </c>
      <c r="K63" s="22" t="n">
        <v>3208</v>
      </c>
      <c r="L63" s="23" t="n">
        <v>9.67</v>
      </c>
      <c r="M63" s="22" t="n">
        <v>2953</v>
      </c>
      <c r="N63" s="22" t="n">
        <v>1324</v>
      </c>
    </row>
    <row r="64" customFormat="false" ht="15" hidden="false" customHeight="true" outlineLevel="0" collapsed="false">
      <c r="A64" s="21" t="s">
        <v>66</v>
      </c>
      <c r="B64" s="21" t="s">
        <v>61</v>
      </c>
      <c r="C64" s="21" t="n">
        <v>2019</v>
      </c>
      <c r="D64" s="22" t="n">
        <v>6436</v>
      </c>
      <c r="E64" s="22" t="n">
        <v>633</v>
      </c>
      <c r="F64" s="22" t="n">
        <v>199</v>
      </c>
      <c r="G64" s="22" t="n">
        <v>259</v>
      </c>
      <c r="H64" s="22" t="n">
        <v>2558</v>
      </c>
      <c r="I64" s="22" t="n">
        <v>2652</v>
      </c>
      <c r="J64" s="22" t="n">
        <v>7014</v>
      </c>
      <c r="K64" s="22" t="n">
        <v>3362</v>
      </c>
      <c r="L64" s="23" t="n">
        <v>7.71</v>
      </c>
      <c r="M64" s="22" t="n">
        <v>3135</v>
      </c>
      <c r="N64" s="22" t="n">
        <v>1546</v>
      </c>
    </row>
    <row r="65" customFormat="false" ht="15" hidden="false" customHeight="true" outlineLevel="0" collapsed="false">
      <c r="A65" s="21" t="s">
        <v>66</v>
      </c>
      <c r="B65" s="21" t="s">
        <v>61</v>
      </c>
      <c r="C65" s="21" t="n">
        <v>2020</v>
      </c>
      <c r="D65" s="22" t="n">
        <v>6705</v>
      </c>
      <c r="E65" s="22" t="n">
        <v>708</v>
      </c>
      <c r="F65" s="22" t="n">
        <v>171</v>
      </c>
      <c r="G65" s="22" t="n">
        <v>259</v>
      </c>
      <c r="H65" s="22" t="n">
        <v>2595</v>
      </c>
      <c r="I65" s="22" t="n">
        <v>2431</v>
      </c>
      <c r="J65" s="22" t="n">
        <v>6815</v>
      </c>
      <c r="K65" s="22" t="n">
        <v>3532</v>
      </c>
      <c r="L65" s="23" t="n">
        <v>6.62</v>
      </c>
      <c r="M65" s="22" t="n">
        <v>2758</v>
      </c>
      <c r="N65" s="22" t="n">
        <v>1530</v>
      </c>
    </row>
    <row r="66" customFormat="false" ht="15" hidden="false" customHeight="true" outlineLevel="0" collapsed="false">
      <c r="A66" s="21" t="s">
        <v>66</v>
      </c>
      <c r="B66" s="21" t="s">
        <v>61</v>
      </c>
      <c r="C66" s="21" t="n">
        <v>2021</v>
      </c>
      <c r="D66" s="22" t="n">
        <v>4529</v>
      </c>
      <c r="E66" s="22" t="n">
        <v>477</v>
      </c>
      <c r="F66" s="22" t="n">
        <v>93</v>
      </c>
      <c r="G66" s="22" t="n">
        <v>259</v>
      </c>
      <c r="H66" s="22" t="n">
        <v>2682</v>
      </c>
      <c r="I66" s="22" t="n">
        <v>1985</v>
      </c>
      <c r="J66" s="22" t="n">
        <v>6609</v>
      </c>
      <c r="K66" s="22" t="n">
        <v>3332</v>
      </c>
      <c r="L66" s="23" t="n">
        <v>3.58</v>
      </c>
      <c r="M66" s="22" t="n">
        <v>2745</v>
      </c>
      <c r="N66" s="22" t="n">
        <v>1682</v>
      </c>
    </row>
    <row r="67" customFormat="false" ht="15" hidden="false" customHeight="true" outlineLevel="0" collapsed="false">
      <c r="A67" s="21" t="s">
        <v>66</v>
      </c>
      <c r="B67" s="21" t="s">
        <v>61</v>
      </c>
      <c r="C67" s="21" t="n">
        <v>2022</v>
      </c>
      <c r="D67" s="22" t="n">
        <v>7436</v>
      </c>
      <c r="E67" s="22" t="n">
        <v>790</v>
      </c>
      <c r="F67" s="22" t="n">
        <v>59</v>
      </c>
      <c r="G67" s="22" t="n">
        <v>261</v>
      </c>
      <c r="H67" s="22" t="n">
        <v>2751</v>
      </c>
      <c r="I67" s="22" t="n">
        <v>1783</v>
      </c>
      <c r="J67" s="22" t="n">
        <v>7413</v>
      </c>
      <c r="K67" s="22" t="n">
        <v>3268</v>
      </c>
      <c r="L67" s="23" t="n">
        <v>2.28</v>
      </c>
      <c r="M67" s="22" t="n">
        <v>3694</v>
      </c>
      <c r="N67" s="22" t="n">
        <v>2619</v>
      </c>
    </row>
    <row r="68" customFormat="false" ht="15" hidden="false" customHeight="true" outlineLevel="0" collapsed="false">
      <c r="A68" s="21" t="s">
        <v>66</v>
      </c>
      <c r="B68" s="21" t="s">
        <v>61</v>
      </c>
      <c r="C68" s="21" t="n">
        <v>2023</v>
      </c>
      <c r="D68" s="22" t="n">
        <v>7723</v>
      </c>
      <c r="E68" s="22" t="n">
        <v>720</v>
      </c>
      <c r="F68" s="22" t="n">
        <v>346</v>
      </c>
      <c r="G68" s="22" t="n">
        <v>262</v>
      </c>
      <c r="H68" s="22" t="n">
        <v>3035</v>
      </c>
      <c r="I68" s="22" t="n">
        <v>1420</v>
      </c>
      <c r="J68" s="22" t="n">
        <v>6398</v>
      </c>
      <c r="K68" s="22" t="n">
        <v>3255</v>
      </c>
      <c r="L68" s="23" t="n">
        <v>13.23</v>
      </c>
      <c r="M68" s="22" t="n">
        <v>2756</v>
      </c>
      <c r="N68" s="22" t="n">
        <v>1681</v>
      </c>
    </row>
    <row r="69" customFormat="false" ht="15" hidden="false" customHeight="true" outlineLevel="0" collapsed="false">
      <c r="A69" s="21" t="s">
        <v>66</v>
      </c>
      <c r="B69" s="21" t="s">
        <v>61</v>
      </c>
      <c r="C69" s="21" t="n">
        <v>2024</v>
      </c>
      <c r="D69" s="22" t="n">
        <v>7100</v>
      </c>
      <c r="E69" s="22" t="n">
        <v>767</v>
      </c>
      <c r="F69" s="22" t="n">
        <v>305</v>
      </c>
      <c r="G69" s="22" t="n">
        <v>262</v>
      </c>
      <c r="H69" s="22" t="n">
        <v>3215</v>
      </c>
      <c r="I69" s="22" t="n">
        <v>1320</v>
      </c>
      <c r="J69" s="22" t="n">
        <v>6729</v>
      </c>
      <c r="K69" s="22" t="n">
        <v>3288</v>
      </c>
      <c r="L69" s="23" t="n">
        <v>11.65</v>
      </c>
      <c r="M69" s="22" t="n">
        <v>3098</v>
      </c>
      <c r="N69" s="22" t="n">
        <v>1932</v>
      </c>
    </row>
    <row r="70" customFormat="false" ht="15" hidden="false" customHeight="true" outlineLevel="0" collapsed="false">
      <c r="A70" s="21" t="s">
        <v>66</v>
      </c>
      <c r="B70" s="21" t="s">
        <v>61</v>
      </c>
      <c r="C70" s="21" t="n">
        <v>2025</v>
      </c>
      <c r="D70" s="22" t="n">
        <v>6236</v>
      </c>
      <c r="E70" s="22" t="n">
        <v>581</v>
      </c>
      <c r="F70" s="22" t="n">
        <v>240</v>
      </c>
      <c r="G70" s="22" t="n">
        <v>262</v>
      </c>
      <c r="H70" s="22" t="n">
        <v>3325</v>
      </c>
      <c r="I70" s="22" t="n">
        <v>1496</v>
      </c>
      <c r="J70" s="22" t="n">
        <v>7324</v>
      </c>
      <c r="K70" s="22" t="n">
        <v>3504</v>
      </c>
      <c r="L70" s="23" t="n">
        <v>9.18</v>
      </c>
      <c r="M70" s="22" t="n">
        <v>3372</v>
      </c>
      <c r="N70" s="22" t="n">
        <v>2241</v>
      </c>
    </row>
    <row r="71" customFormat="false" ht="15" hidden="false" customHeight="true" outlineLevel="0" collapsed="false">
      <c r="A71" s="18" t="s">
        <v>67</v>
      </c>
      <c r="B71" s="18" t="s">
        <v>61</v>
      </c>
      <c r="C71" s="18" t="n">
        <v>2015</v>
      </c>
      <c r="D71" s="19" t="n">
        <v>616</v>
      </c>
      <c r="E71" s="19" t="n">
        <v>100</v>
      </c>
      <c r="F71" s="19" t="n">
        <v>41</v>
      </c>
      <c r="G71" s="19" t="n">
        <v>46</v>
      </c>
      <c r="H71" s="19" t="n">
        <v>121</v>
      </c>
      <c r="I71" s="19" t="n">
        <v>378</v>
      </c>
      <c r="J71" s="19" t="n">
        <v>610</v>
      </c>
      <c r="K71" s="19" t="n">
        <v>417</v>
      </c>
      <c r="L71" s="20" t="n">
        <v>8.94</v>
      </c>
      <c r="M71" s="19" t="n">
        <v>193</v>
      </c>
      <c r="N71" s="19" t="n">
        <v>65</v>
      </c>
    </row>
    <row r="72" customFormat="false" ht="15" hidden="false" customHeight="true" outlineLevel="0" collapsed="false">
      <c r="A72" s="18" t="s">
        <v>67</v>
      </c>
      <c r="B72" s="18" t="s">
        <v>61</v>
      </c>
      <c r="C72" s="18" t="n">
        <v>2016</v>
      </c>
      <c r="D72" s="19" t="n">
        <v>766</v>
      </c>
      <c r="E72" s="19" t="n">
        <v>137</v>
      </c>
      <c r="F72" s="19" t="n">
        <v>44</v>
      </c>
      <c r="G72" s="19" t="n">
        <v>46</v>
      </c>
      <c r="H72" s="19" t="n">
        <v>160</v>
      </c>
      <c r="I72" s="19" t="n">
        <v>352</v>
      </c>
      <c r="J72" s="19" t="n">
        <v>635</v>
      </c>
      <c r="K72" s="19" t="n">
        <v>399</v>
      </c>
      <c r="L72" s="20" t="n">
        <v>9.63</v>
      </c>
      <c r="M72" s="19" t="n">
        <v>236</v>
      </c>
      <c r="N72" s="19" t="n">
        <v>77</v>
      </c>
    </row>
    <row r="73" customFormat="false" ht="15" hidden="false" customHeight="true" outlineLevel="0" collapsed="false">
      <c r="A73" s="18" t="s">
        <v>67</v>
      </c>
      <c r="B73" s="18" t="s">
        <v>61</v>
      </c>
      <c r="C73" s="18" t="n">
        <v>2017</v>
      </c>
      <c r="D73" s="19" t="n">
        <v>933</v>
      </c>
      <c r="E73" s="19" t="n">
        <v>133</v>
      </c>
      <c r="F73" s="19" t="n">
        <v>57</v>
      </c>
      <c r="G73" s="19" t="n">
        <v>46</v>
      </c>
      <c r="H73" s="19" t="n">
        <v>218</v>
      </c>
      <c r="I73" s="19" t="n">
        <v>568</v>
      </c>
      <c r="J73" s="19" t="n">
        <v>885</v>
      </c>
      <c r="K73" s="19" t="n">
        <v>613</v>
      </c>
      <c r="L73" s="20" t="n">
        <v>12.51</v>
      </c>
      <c r="M73" s="19" t="n">
        <v>272</v>
      </c>
      <c r="N73" s="19" t="n">
        <v>53</v>
      </c>
    </row>
    <row r="74" customFormat="false" ht="15" hidden="false" customHeight="true" outlineLevel="0" collapsed="false">
      <c r="A74" s="18" t="s">
        <v>67</v>
      </c>
      <c r="B74" s="18" t="s">
        <v>61</v>
      </c>
      <c r="C74" s="18" t="n">
        <v>2018</v>
      </c>
      <c r="D74" s="19" t="n">
        <v>1145</v>
      </c>
      <c r="E74" s="19" t="n">
        <v>155</v>
      </c>
      <c r="F74" s="19" t="n">
        <v>52</v>
      </c>
      <c r="G74" s="19" t="n">
        <v>56</v>
      </c>
      <c r="H74" s="19" t="n">
        <v>361</v>
      </c>
      <c r="I74" s="19" t="n">
        <v>449</v>
      </c>
      <c r="J74" s="19" t="n">
        <v>929</v>
      </c>
      <c r="K74" s="19" t="n">
        <v>574</v>
      </c>
      <c r="L74" s="20" t="n">
        <v>9.43</v>
      </c>
      <c r="M74" s="19" t="n">
        <v>355</v>
      </c>
      <c r="N74" s="19" t="n">
        <v>63</v>
      </c>
    </row>
    <row r="75" customFormat="false" ht="15" hidden="false" customHeight="true" outlineLevel="0" collapsed="false">
      <c r="A75" s="18" t="s">
        <v>67</v>
      </c>
      <c r="B75" s="18" t="s">
        <v>61</v>
      </c>
      <c r="C75" s="18" t="n">
        <v>2019</v>
      </c>
      <c r="D75" s="19" t="n">
        <v>1241</v>
      </c>
      <c r="E75" s="19" t="n">
        <v>178</v>
      </c>
      <c r="F75" s="19" t="n">
        <v>64</v>
      </c>
      <c r="G75" s="19" t="n">
        <v>56</v>
      </c>
      <c r="H75" s="19" t="n">
        <v>426</v>
      </c>
      <c r="I75" s="19" t="n">
        <v>860</v>
      </c>
      <c r="J75" s="19" t="n">
        <v>1436</v>
      </c>
      <c r="K75" s="19" t="n">
        <v>992</v>
      </c>
      <c r="L75" s="20" t="n">
        <v>11.4</v>
      </c>
      <c r="M75" s="19" t="n">
        <v>445</v>
      </c>
      <c r="N75" s="19" t="n">
        <v>93</v>
      </c>
    </row>
    <row r="76" customFormat="false" ht="15" hidden="false" customHeight="true" outlineLevel="0" collapsed="false">
      <c r="A76" s="18" t="s">
        <v>67</v>
      </c>
      <c r="B76" s="18" t="s">
        <v>61</v>
      </c>
      <c r="C76" s="18" t="n">
        <v>2020</v>
      </c>
      <c r="D76" s="19" t="n">
        <v>1436</v>
      </c>
      <c r="E76" s="19" t="n">
        <v>170</v>
      </c>
      <c r="F76" s="19" t="n">
        <v>24</v>
      </c>
      <c r="G76" s="19" t="n">
        <v>56</v>
      </c>
      <c r="H76" s="19" t="n">
        <v>438</v>
      </c>
      <c r="I76" s="19" t="n">
        <v>1040</v>
      </c>
      <c r="J76" s="19" t="n">
        <v>1645</v>
      </c>
      <c r="K76" s="19" t="n">
        <v>1140</v>
      </c>
      <c r="L76" s="20" t="n">
        <v>4.24</v>
      </c>
      <c r="M76" s="19" t="n">
        <v>506</v>
      </c>
      <c r="N76" s="19" t="n">
        <v>111</v>
      </c>
    </row>
    <row r="77" customFormat="false" ht="15" hidden="false" customHeight="true" outlineLevel="0" collapsed="false">
      <c r="A77" s="18" t="s">
        <v>67</v>
      </c>
      <c r="B77" s="18" t="s">
        <v>61</v>
      </c>
      <c r="C77" s="18" t="n">
        <v>2021</v>
      </c>
      <c r="D77" s="19" t="n">
        <v>1622</v>
      </c>
      <c r="E77" s="19" t="n">
        <v>257</v>
      </c>
      <c r="F77" s="19" t="n">
        <v>69</v>
      </c>
      <c r="G77" s="19" t="n">
        <v>56</v>
      </c>
      <c r="H77" s="19" t="n">
        <v>507</v>
      </c>
      <c r="I77" s="19" t="n">
        <v>962</v>
      </c>
      <c r="J77" s="19" t="n">
        <v>1676</v>
      </c>
      <c r="K77" s="19" t="n">
        <v>1062</v>
      </c>
      <c r="L77" s="20" t="n">
        <v>12.25</v>
      </c>
      <c r="M77" s="19" t="n">
        <v>615</v>
      </c>
      <c r="N77" s="19" t="n">
        <v>151</v>
      </c>
    </row>
    <row r="78" customFormat="false" ht="15" hidden="false" customHeight="true" outlineLevel="0" collapsed="false">
      <c r="A78" s="18" t="s">
        <v>67</v>
      </c>
      <c r="B78" s="18" t="s">
        <v>61</v>
      </c>
      <c r="C78" s="18" t="n">
        <v>2022</v>
      </c>
      <c r="D78" s="19" t="n">
        <v>2690</v>
      </c>
      <c r="E78" s="19" t="n">
        <v>652</v>
      </c>
      <c r="F78" s="19" t="n">
        <v>326</v>
      </c>
      <c r="G78" s="19" t="n">
        <v>56</v>
      </c>
      <c r="H78" s="19" t="n">
        <v>820</v>
      </c>
      <c r="I78" s="19" t="n">
        <v>689</v>
      </c>
      <c r="J78" s="19" t="n">
        <v>1824</v>
      </c>
      <c r="K78" s="19" t="n">
        <v>1012</v>
      </c>
      <c r="L78" s="20" t="n">
        <v>58.01</v>
      </c>
      <c r="M78" s="19" t="n">
        <v>812</v>
      </c>
      <c r="N78" s="19" t="n">
        <v>260</v>
      </c>
    </row>
    <row r="79" customFormat="false" ht="15" hidden="false" customHeight="true" outlineLevel="0" collapsed="false">
      <c r="A79" s="18" t="s">
        <v>67</v>
      </c>
      <c r="B79" s="18" t="s">
        <v>61</v>
      </c>
      <c r="C79" s="18" t="n">
        <v>2023</v>
      </c>
      <c r="D79" s="19" t="n">
        <v>2404</v>
      </c>
      <c r="E79" s="19" t="n">
        <v>297</v>
      </c>
      <c r="F79" s="19" t="n">
        <v>165</v>
      </c>
      <c r="G79" s="19" t="n">
        <v>56</v>
      </c>
      <c r="H79" s="19" t="n">
        <v>973</v>
      </c>
      <c r="I79" s="19" t="n">
        <v>980</v>
      </c>
      <c r="J79" s="19" t="n">
        <v>2218</v>
      </c>
      <c r="K79" s="19" t="n">
        <v>1351</v>
      </c>
      <c r="L79" s="20" t="n">
        <v>29.32</v>
      </c>
      <c r="M79" s="19" t="n">
        <v>867</v>
      </c>
      <c r="N79" s="19" t="n">
        <v>209</v>
      </c>
    </row>
    <row r="80" customFormat="false" ht="15" hidden="false" customHeight="true" outlineLevel="0" collapsed="false">
      <c r="A80" s="18" t="s">
        <v>67</v>
      </c>
      <c r="B80" s="18" t="s">
        <v>61</v>
      </c>
      <c r="C80" s="18" t="n">
        <v>2024</v>
      </c>
      <c r="D80" s="19" t="n">
        <v>2902</v>
      </c>
      <c r="E80" s="19" t="n">
        <v>377</v>
      </c>
      <c r="F80" s="19" t="n">
        <v>132</v>
      </c>
      <c r="G80" s="19" t="n">
        <v>56</v>
      </c>
      <c r="H80" s="19" t="n">
        <v>1090</v>
      </c>
      <c r="I80" s="19" t="n">
        <v>1339</v>
      </c>
      <c r="J80" s="19" t="n">
        <v>2717</v>
      </c>
      <c r="K80" s="19" t="n">
        <v>1711</v>
      </c>
      <c r="L80" s="20" t="n">
        <v>23.39</v>
      </c>
      <c r="M80" s="19" t="n">
        <v>1005</v>
      </c>
      <c r="N80" s="19" t="n">
        <v>231</v>
      </c>
    </row>
    <row r="81" customFormat="false" ht="15" hidden="false" customHeight="true" outlineLevel="0" collapsed="false">
      <c r="A81" s="18" t="s">
        <v>67</v>
      </c>
      <c r="B81" s="18" t="s">
        <v>61</v>
      </c>
      <c r="C81" s="18" t="n">
        <v>2025</v>
      </c>
      <c r="D81" s="19" t="n">
        <v>3300</v>
      </c>
      <c r="E81" s="19" t="n">
        <v>471</v>
      </c>
      <c r="F81" s="19" t="n">
        <v>175</v>
      </c>
      <c r="G81" s="19" t="n">
        <v>56</v>
      </c>
      <c r="H81" s="19" t="n">
        <v>1255</v>
      </c>
      <c r="I81" s="19" t="n">
        <v>1165</v>
      </c>
      <c r="J81" s="19" t="n">
        <v>2732</v>
      </c>
      <c r="K81" s="19" t="n">
        <v>1584</v>
      </c>
      <c r="L81" s="20" t="n">
        <v>31.2</v>
      </c>
      <c r="M81" s="19" t="n">
        <v>1148</v>
      </c>
      <c r="N81" s="19" t="n">
        <v>256</v>
      </c>
    </row>
    <row r="82" customFormat="false" ht="15" hidden="false" customHeight="true" outlineLevel="0" collapsed="false">
      <c r="A82" s="21" t="s">
        <v>68</v>
      </c>
      <c r="B82" s="21" t="s">
        <v>61</v>
      </c>
      <c r="C82" s="21" t="n">
        <v>2015</v>
      </c>
      <c r="D82" s="22" t="n">
        <v>1867</v>
      </c>
      <c r="E82" s="22" t="n">
        <v>232</v>
      </c>
      <c r="F82" s="22" t="n">
        <v>115</v>
      </c>
      <c r="G82" s="22" t="n">
        <v>16</v>
      </c>
      <c r="H82" s="22" t="n">
        <v>544</v>
      </c>
      <c r="I82" s="22" t="n">
        <v>598</v>
      </c>
      <c r="J82" s="22" t="n">
        <v>1341</v>
      </c>
      <c r="K82" s="22" t="n">
        <v>687</v>
      </c>
      <c r="L82" s="23" t="n">
        <v>7.05</v>
      </c>
      <c r="M82" s="22" t="n">
        <v>604</v>
      </c>
      <c r="N82" s="22" t="n">
        <v>183</v>
      </c>
    </row>
    <row r="83" customFormat="false" ht="15" hidden="false" customHeight="true" outlineLevel="0" collapsed="false">
      <c r="A83" s="21" t="s">
        <v>68</v>
      </c>
      <c r="B83" s="21" t="s">
        <v>61</v>
      </c>
      <c r="C83" s="21" t="n">
        <v>2016</v>
      </c>
      <c r="D83" s="22" t="n">
        <v>2074</v>
      </c>
      <c r="E83" s="22" t="n">
        <v>263</v>
      </c>
      <c r="F83" s="22" t="n">
        <v>143</v>
      </c>
      <c r="G83" s="22" t="n">
        <v>16</v>
      </c>
      <c r="H83" s="22" t="n">
        <v>667</v>
      </c>
      <c r="I83" s="22" t="n">
        <v>804</v>
      </c>
      <c r="J83" s="22" t="n">
        <v>1675</v>
      </c>
      <c r="K83" s="22" t="n">
        <v>877</v>
      </c>
      <c r="L83" s="23" t="n">
        <v>8.76</v>
      </c>
      <c r="M83" s="22" t="n">
        <v>772</v>
      </c>
      <c r="N83" s="22" t="n">
        <v>188</v>
      </c>
    </row>
    <row r="84" customFormat="false" ht="15" hidden="false" customHeight="true" outlineLevel="0" collapsed="false">
      <c r="A84" s="21" t="s">
        <v>68</v>
      </c>
      <c r="B84" s="21" t="s">
        <v>61</v>
      </c>
      <c r="C84" s="21" t="n">
        <v>2017</v>
      </c>
      <c r="D84" s="22" t="n">
        <v>2249</v>
      </c>
      <c r="E84" s="22" t="n">
        <v>282</v>
      </c>
      <c r="F84" s="22" t="n">
        <v>158</v>
      </c>
      <c r="G84" s="22" t="n">
        <v>16</v>
      </c>
      <c r="H84" s="22" t="n">
        <v>800</v>
      </c>
      <c r="I84" s="22" t="n">
        <v>1036</v>
      </c>
      <c r="J84" s="22" t="n">
        <v>2045</v>
      </c>
      <c r="K84" s="22" t="n">
        <v>1139</v>
      </c>
      <c r="L84" s="23" t="n">
        <v>9.64</v>
      </c>
      <c r="M84" s="22" t="n">
        <v>877</v>
      </c>
      <c r="N84" s="22" t="n">
        <v>193</v>
      </c>
    </row>
    <row r="85" customFormat="false" ht="15" hidden="false" customHeight="true" outlineLevel="0" collapsed="false">
      <c r="A85" s="21" t="s">
        <v>68</v>
      </c>
      <c r="B85" s="21" t="s">
        <v>61</v>
      </c>
      <c r="C85" s="21" t="n">
        <v>2018</v>
      </c>
      <c r="D85" s="22" t="n">
        <v>2453</v>
      </c>
      <c r="E85" s="22" t="n">
        <v>247</v>
      </c>
      <c r="F85" s="22" t="n">
        <v>113</v>
      </c>
      <c r="G85" s="22" t="n">
        <v>16</v>
      </c>
      <c r="H85" s="22" t="n">
        <v>890</v>
      </c>
      <c r="I85" s="22" t="n">
        <v>1047</v>
      </c>
      <c r="J85" s="22" t="n">
        <v>2182</v>
      </c>
      <c r="K85" s="22" t="n">
        <v>1119</v>
      </c>
      <c r="L85" s="23" t="n">
        <v>6.91</v>
      </c>
      <c r="M85" s="22" t="n">
        <v>981</v>
      </c>
      <c r="N85" s="22" t="n">
        <v>228</v>
      </c>
    </row>
    <row r="86" customFormat="false" ht="15" hidden="false" customHeight="true" outlineLevel="0" collapsed="false">
      <c r="A86" s="21" t="s">
        <v>68</v>
      </c>
      <c r="B86" s="21" t="s">
        <v>61</v>
      </c>
      <c r="C86" s="21" t="n">
        <v>2019</v>
      </c>
      <c r="D86" s="22" t="n">
        <v>2562</v>
      </c>
      <c r="E86" s="22" t="n">
        <v>219</v>
      </c>
      <c r="F86" s="22" t="n">
        <v>66</v>
      </c>
      <c r="G86" s="22" t="n">
        <v>16</v>
      </c>
      <c r="H86" s="22" t="n">
        <v>930</v>
      </c>
      <c r="I86" s="22" t="n">
        <v>923</v>
      </c>
      <c r="J86" s="22" t="n">
        <v>2131</v>
      </c>
      <c r="K86" s="22" t="n">
        <v>1074</v>
      </c>
      <c r="L86" s="23" t="n">
        <v>4.01</v>
      </c>
      <c r="M86" s="22" t="n">
        <v>999</v>
      </c>
      <c r="N86" s="22" t="n">
        <v>261</v>
      </c>
    </row>
    <row r="87" customFormat="false" ht="15" hidden="false" customHeight="true" outlineLevel="0" collapsed="false">
      <c r="A87" s="21" t="s">
        <v>68</v>
      </c>
      <c r="B87" s="21" t="s">
        <v>61</v>
      </c>
      <c r="C87" s="21" t="n">
        <v>2020</v>
      </c>
      <c r="D87" s="22" t="n">
        <v>2379</v>
      </c>
      <c r="E87" s="22" t="n">
        <v>178</v>
      </c>
      <c r="F87" s="22" t="n">
        <v>36</v>
      </c>
      <c r="G87" s="22" t="n">
        <v>16</v>
      </c>
      <c r="H87" s="22" t="n">
        <v>955</v>
      </c>
      <c r="I87" s="22" t="n">
        <v>868</v>
      </c>
      <c r="J87" s="22" t="n">
        <v>2118</v>
      </c>
      <c r="K87" s="22" t="n">
        <v>1210</v>
      </c>
      <c r="L87" s="23" t="n">
        <v>2.2</v>
      </c>
      <c r="M87" s="22" t="n">
        <v>875</v>
      </c>
      <c r="N87" s="22" t="n">
        <v>279</v>
      </c>
    </row>
    <row r="88" customFormat="false" ht="15" hidden="false" customHeight="true" outlineLevel="0" collapsed="false">
      <c r="A88" s="21" t="s">
        <v>68</v>
      </c>
      <c r="B88" s="21" t="s">
        <v>61</v>
      </c>
      <c r="C88" s="21" t="n">
        <v>2021</v>
      </c>
      <c r="D88" s="22" t="n">
        <v>1861</v>
      </c>
      <c r="E88" s="22" t="n">
        <v>115</v>
      </c>
      <c r="F88" s="22" t="n">
        <v>10</v>
      </c>
      <c r="G88" s="22" t="n">
        <v>16</v>
      </c>
      <c r="H88" s="22" t="n">
        <v>964</v>
      </c>
      <c r="I88" s="22" t="n">
        <v>901</v>
      </c>
      <c r="J88" s="22" t="n">
        <v>2149</v>
      </c>
      <c r="K88" s="22" t="n">
        <v>1231</v>
      </c>
      <c r="L88" s="23" t="n">
        <v>0.58</v>
      </c>
      <c r="M88" s="22" t="n">
        <v>878</v>
      </c>
      <c r="N88" s="22" t="n">
        <v>268</v>
      </c>
    </row>
    <row r="89" customFormat="false" ht="15" hidden="false" customHeight="true" outlineLevel="0" collapsed="false">
      <c r="A89" s="21" t="s">
        <v>68</v>
      </c>
      <c r="B89" s="21" t="s">
        <v>61</v>
      </c>
      <c r="C89" s="21" t="n">
        <v>2022</v>
      </c>
      <c r="D89" s="22" t="n">
        <v>3042</v>
      </c>
      <c r="E89" s="22" t="n">
        <v>387</v>
      </c>
      <c r="F89" s="22" t="n">
        <v>156</v>
      </c>
      <c r="G89" s="22" t="n">
        <v>16</v>
      </c>
      <c r="H89" s="22" t="n">
        <v>1114</v>
      </c>
      <c r="I89" s="22" t="n">
        <v>938</v>
      </c>
      <c r="J89" s="22" t="n">
        <v>2442</v>
      </c>
      <c r="K89" s="22" t="n">
        <v>1187</v>
      </c>
      <c r="L89" s="23" t="n">
        <v>9.5</v>
      </c>
      <c r="M89" s="22" t="n">
        <v>1201</v>
      </c>
      <c r="N89" s="22" t="n">
        <v>374</v>
      </c>
    </row>
    <row r="90" customFormat="false" ht="15" hidden="false" customHeight="true" outlineLevel="0" collapsed="false">
      <c r="A90" s="21" t="s">
        <v>68</v>
      </c>
      <c r="B90" s="21" t="s">
        <v>61</v>
      </c>
      <c r="C90" s="21" t="n">
        <v>2023</v>
      </c>
      <c r="D90" s="22" t="n">
        <v>3039</v>
      </c>
      <c r="E90" s="22" t="n">
        <v>264</v>
      </c>
      <c r="F90" s="22" t="n">
        <v>23</v>
      </c>
      <c r="G90" s="22" t="n">
        <v>16</v>
      </c>
      <c r="H90" s="22" t="n">
        <v>1107</v>
      </c>
      <c r="I90" s="22" t="n">
        <v>933</v>
      </c>
      <c r="J90" s="22" t="n">
        <v>2421</v>
      </c>
      <c r="K90" s="22" t="n">
        <v>1121</v>
      </c>
      <c r="L90" s="23" t="n">
        <v>1.39</v>
      </c>
      <c r="M90" s="22" t="n">
        <v>1274</v>
      </c>
      <c r="N90" s="22" t="n">
        <v>364</v>
      </c>
    </row>
    <row r="91" customFormat="false" ht="15" hidden="false" customHeight="true" outlineLevel="0" collapsed="false">
      <c r="A91" s="21" t="s">
        <v>68</v>
      </c>
      <c r="B91" s="21" t="s">
        <v>61</v>
      </c>
      <c r="C91" s="21" t="n">
        <v>2024</v>
      </c>
      <c r="D91" s="22" t="n">
        <v>2672</v>
      </c>
      <c r="E91" s="22" t="n">
        <v>-29</v>
      </c>
      <c r="F91" s="22" t="n">
        <v>-135</v>
      </c>
      <c r="G91" s="22" t="n">
        <v>16</v>
      </c>
      <c r="H91" s="22" t="n">
        <v>960</v>
      </c>
      <c r="I91" s="22" t="n">
        <v>826</v>
      </c>
      <c r="J91" s="22" t="n">
        <v>2097</v>
      </c>
      <c r="K91" s="22" t="n">
        <v>1063</v>
      </c>
      <c r="L91" s="23" t="n">
        <v>-8.22</v>
      </c>
      <c r="M91" s="22" t="n">
        <v>1020</v>
      </c>
      <c r="N91" s="22" t="n">
        <v>295</v>
      </c>
    </row>
    <row r="92" customFormat="false" ht="15" hidden="false" customHeight="true" outlineLevel="0" collapsed="false">
      <c r="A92" s="21" t="s">
        <v>68</v>
      </c>
      <c r="B92" s="21" t="s">
        <v>61</v>
      </c>
      <c r="C92" s="21" t="n">
        <v>2025</v>
      </c>
      <c r="D92" s="22" t="n">
        <v>2642</v>
      </c>
      <c r="E92" s="22" t="n">
        <v>46</v>
      </c>
      <c r="F92" s="22" t="n">
        <v>-84</v>
      </c>
      <c r="G92" s="22" t="n">
        <v>16</v>
      </c>
      <c r="H92" s="22" t="n">
        <v>878</v>
      </c>
      <c r="I92" s="22" t="n">
        <v>877</v>
      </c>
      <c r="J92" s="22" t="n">
        <v>2043</v>
      </c>
      <c r="K92" s="22" t="n">
        <v>1010</v>
      </c>
      <c r="L92" s="23" t="n">
        <v>-5.14</v>
      </c>
      <c r="M92" s="22" t="n">
        <v>1012</v>
      </c>
      <c r="N92" s="22" t="n">
        <v>273</v>
      </c>
    </row>
    <row r="93" customFormat="false" ht="15" hidden="false" customHeight="true" outlineLevel="0" collapsed="false">
      <c r="A93" s="18" t="s">
        <v>69</v>
      </c>
      <c r="B93" s="18" t="s">
        <v>61</v>
      </c>
      <c r="C93" s="18" t="n">
        <v>2015</v>
      </c>
      <c r="D93" s="19" t="n">
        <v>1070</v>
      </c>
      <c r="E93" s="19" t="n">
        <v>21</v>
      </c>
      <c r="F93" s="19" t="n">
        <v>34</v>
      </c>
      <c r="G93" s="19" t="n">
        <v>17</v>
      </c>
      <c r="H93" s="19" t="n">
        <v>139</v>
      </c>
      <c r="I93" s="19" t="n">
        <v>311</v>
      </c>
      <c r="J93" s="19" t="n">
        <v>645</v>
      </c>
      <c r="K93" s="19" t="n">
        <v>127</v>
      </c>
      <c r="L93" s="20" t="n">
        <v>9.93</v>
      </c>
      <c r="M93" s="19" t="n">
        <v>485</v>
      </c>
      <c r="N93" s="19" t="n">
        <v>177</v>
      </c>
    </row>
    <row r="94" customFormat="false" ht="15" hidden="false" customHeight="true" outlineLevel="0" collapsed="false">
      <c r="A94" s="18" t="s">
        <v>69</v>
      </c>
      <c r="B94" s="18" t="s">
        <v>61</v>
      </c>
      <c r="C94" s="18" t="n">
        <v>2016</v>
      </c>
      <c r="D94" s="19" t="n">
        <v>1123</v>
      </c>
      <c r="E94" s="19" t="n">
        <v>37</v>
      </c>
      <c r="F94" s="19" t="n">
        <v>61</v>
      </c>
      <c r="G94" s="19" t="n">
        <v>17</v>
      </c>
      <c r="H94" s="19" t="n">
        <v>195</v>
      </c>
      <c r="I94" s="19" t="n">
        <v>343</v>
      </c>
      <c r="J94" s="19" t="n">
        <v>725</v>
      </c>
      <c r="K94" s="19" t="n">
        <v>94</v>
      </c>
      <c r="L94" s="20" t="n">
        <v>17.44</v>
      </c>
      <c r="M94" s="19" t="n">
        <v>602</v>
      </c>
      <c r="N94" s="19" t="n">
        <v>168</v>
      </c>
    </row>
    <row r="95" customFormat="false" ht="15" hidden="false" customHeight="true" outlineLevel="0" collapsed="false">
      <c r="A95" s="18" t="s">
        <v>69</v>
      </c>
      <c r="B95" s="18" t="s">
        <v>61</v>
      </c>
      <c r="C95" s="18" t="n">
        <v>2017</v>
      </c>
      <c r="D95" s="19" t="n">
        <v>915</v>
      </c>
      <c r="E95" s="19" t="n">
        <v>-31</v>
      </c>
      <c r="F95" s="19" t="n">
        <v>-46</v>
      </c>
      <c r="G95" s="19" t="n">
        <v>17</v>
      </c>
      <c r="H95" s="19" t="n">
        <v>148</v>
      </c>
      <c r="I95" s="19" t="n">
        <v>474</v>
      </c>
      <c r="J95" s="19" t="n">
        <v>794</v>
      </c>
      <c r="K95" s="19" t="n">
        <v>95</v>
      </c>
      <c r="L95" s="20" t="n">
        <v>-13.23</v>
      </c>
      <c r="M95" s="19" t="n">
        <v>671</v>
      </c>
      <c r="N95" s="19" t="n">
        <v>154</v>
      </c>
    </row>
    <row r="96" customFormat="false" ht="15" hidden="false" customHeight="true" outlineLevel="0" collapsed="false">
      <c r="A96" s="18" t="s">
        <v>69</v>
      </c>
      <c r="B96" s="18" t="s">
        <v>61</v>
      </c>
      <c r="C96" s="18" t="n">
        <v>2018</v>
      </c>
      <c r="D96" s="19" t="n">
        <v>1031</v>
      </c>
      <c r="E96" s="19" t="n">
        <v>-23</v>
      </c>
      <c r="F96" s="19" t="n">
        <v>-31</v>
      </c>
      <c r="G96" s="19" t="n">
        <v>17</v>
      </c>
      <c r="H96" s="19" t="n">
        <v>113</v>
      </c>
      <c r="I96" s="19" t="n">
        <v>472</v>
      </c>
      <c r="J96" s="19" t="n">
        <v>794</v>
      </c>
      <c r="K96" s="19" t="n">
        <v>95</v>
      </c>
      <c r="L96" s="20" t="n">
        <v>-8.83</v>
      </c>
      <c r="M96" s="19" t="n">
        <v>679</v>
      </c>
      <c r="N96" s="19" t="n">
        <v>192</v>
      </c>
    </row>
    <row r="97" customFormat="false" ht="15" hidden="false" customHeight="true" outlineLevel="0" collapsed="false">
      <c r="A97" s="18" t="s">
        <v>69</v>
      </c>
      <c r="B97" s="18" t="s">
        <v>61</v>
      </c>
      <c r="C97" s="18" t="n">
        <v>2019</v>
      </c>
      <c r="D97" s="19" t="n">
        <v>1173</v>
      </c>
      <c r="E97" s="19" t="n">
        <v>62</v>
      </c>
      <c r="F97" s="19" t="n">
        <v>26</v>
      </c>
      <c r="G97" s="19" t="n">
        <v>21</v>
      </c>
      <c r="H97" s="19" t="n">
        <v>218</v>
      </c>
      <c r="I97" s="19" t="n">
        <v>381</v>
      </c>
      <c r="J97" s="19" t="n">
        <v>823</v>
      </c>
      <c r="K97" s="19" t="n">
        <v>108</v>
      </c>
      <c r="L97" s="20" t="n">
        <v>5.99</v>
      </c>
      <c r="M97" s="19" t="n">
        <v>694</v>
      </c>
      <c r="N97" s="19" t="n">
        <v>202</v>
      </c>
    </row>
    <row r="98" customFormat="false" ht="15" hidden="false" customHeight="true" outlineLevel="0" collapsed="false">
      <c r="A98" s="18" t="s">
        <v>69</v>
      </c>
      <c r="B98" s="18" t="s">
        <v>61</v>
      </c>
      <c r="C98" s="18" t="n">
        <v>2020</v>
      </c>
      <c r="D98" s="19" t="n">
        <v>1368</v>
      </c>
      <c r="E98" s="19" t="n">
        <v>87</v>
      </c>
      <c r="F98" s="19" t="n">
        <v>32</v>
      </c>
      <c r="G98" s="19" t="n">
        <v>21</v>
      </c>
      <c r="H98" s="19" t="n">
        <v>207</v>
      </c>
      <c r="I98" s="19" t="n">
        <v>440</v>
      </c>
      <c r="J98" s="19" t="n">
        <v>939</v>
      </c>
      <c r="K98" s="19" t="n">
        <v>172</v>
      </c>
      <c r="L98" s="20" t="n">
        <v>7.56</v>
      </c>
      <c r="M98" s="19" t="n">
        <v>712</v>
      </c>
      <c r="N98" s="19" t="n">
        <v>271</v>
      </c>
    </row>
    <row r="99" customFormat="false" ht="15" hidden="false" customHeight="true" outlineLevel="0" collapsed="false">
      <c r="A99" s="18" t="s">
        <v>69</v>
      </c>
      <c r="B99" s="18" t="s">
        <v>61</v>
      </c>
      <c r="C99" s="18" t="n">
        <v>2021</v>
      </c>
      <c r="D99" s="19" t="n">
        <v>1209</v>
      </c>
      <c r="E99" s="19" t="n">
        <v>101</v>
      </c>
      <c r="F99" s="19" t="n">
        <v>26</v>
      </c>
      <c r="G99" s="19" t="n">
        <v>21</v>
      </c>
      <c r="H99" s="19" t="n">
        <v>270</v>
      </c>
      <c r="I99" s="19" t="n">
        <v>476</v>
      </c>
      <c r="J99" s="19" t="n">
        <v>1005</v>
      </c>
      <c r="K99" s="19" t="n">
        <v>235</v>
      </c>
      <c r="L99" s="20" t="n">
        <v>6.12</v>
      </c>
      <c r="M99" s="19" t="n">
        <v>713</v>
      </c>
      <c r="N99" s="19" t="n">
        <v>237</v>
      </c>
    </row>
    <row r="100" customFormat="false" ht="15" hidden="false" customHeight="true" outlineLevel="0" collapsed="false">
      <c r="A100" s="18" t="s">
        <v>69</v>
      </c>
      <c r="B100" s="18" t="s">
        <v>61</v>
      </c>
      <c r="C100" s="18" t="n">
        <v>2022</v>
      </c>
      <c r="D100" s="19" t="n">
        <v>1789</v>
      </c>
      <c r="E100" s="19" t="n">
        <v>204</v>
      </c>
      <c r="F100" s="19" t="n">
        <v>117</v>
      </c>
      <c r="G100" s="19" t="n">
        <v>29</v>
      </c>
      <c r="H100" s="19" t="n">
        <v>680</v>
      </c>
      <c r="I100" s="19" t="n">
        <v>191</v>
      </c>
      <c r="J100" s="19" t="n">
        <v>1226</v>
      </c>
      <c r="K100" s="19" t="n">
        <v>282</v>
      </c>
      <c r="L100" s="20" t="n">
        <v>19.79</v>
      </c>
      <c r="M100" s="19" t="n">
        <v>770</v>
      </c>
      <c r="N100" s="19" t="n">
        <v>325</v>
      </c>
    </row>
    <row r="101" customFormat="false" ht="15" hidden="false" customHeight="true" outlineLevel="0" collapsed="false">
      <c r="A101" s="18" t="s">
        <v>69</v>
      </c>
      <c r="B101" s="18" t="s">
        <v>61</v>
      </c>
      <c r="C101" s="18" t="n">
        <v>2023</v>
      </c>
      <c r="D101" s="19" t="n">
        <v>2221</v>
      </c>
      <c r="E101" s="19" t="n">
        <v>269</v>
      </c>
      <c r="F101" s="19" t="n">
        <v>178</v>
      </c>
      <c r="G101" s="19" t="n">
        <v>30</v>
      </c>
      <c r="H101" s="19" t="n">
        <v>863</v>
      </c>
      <c r="I101" s="19" t="n">
        <v>141</v>
      </c>
      <c r="J101" s="19" t="n">
        <v>1343</v>
      </c>
      <c r="K101" s="19" t="n">
        <v>261</v>
      </c>
      <c r="L101" s="20" t="n">
        <v>29.45</v>
      </c>
      <c r="M101" s="19" t="n">
        <v>717</v>
      </c>
      <c r="N101" s="19" t="n">
        <v>309</v>
      </c>
    </row>
    <row r="102" customFormat="false" ht="15" hidden="false" customHeight="true" outlineLevel="0" collapsed="false">
      <c r="A102" s="18" t="s">
        <v>69</v>
      </c>
      <c r="B102" s="18" t="s">
        <v>61</v>
      </c>
      <c r="C102" s="18" t="n">
        <v>2024</v>
      </c>
      <c r="D102" s="19" t="n">
        <v>2139</v>
      </c>
      <c r="E102" s="19" t="n">
        <v>255</v>
      </c>
      <c r="F102" s="19" t="n">
        <v>164</v>
      </c>
      <c r="G102" s="19" t="n">
        <v>32</v>
      </c>
      <c r="H102" s="19" t="n">
        <v>1310</v>
      </c>
      <c r="I102" s="19" t="n">
        <v>254</v>
      </c>
      <c r="J102" s="19" t="n">
        <v>1955</v>
      </c>
      <c r="K102" s="19" t="n">
        <v>254</v>
      </c>
      <c r="L102" s="20" t="n">
        <v>25.9</v>
      </c>
      <c r="M102" s="19" t="n">
        <v>1197</v>
      </c>
      <c r="N102" s="19" t="n">
        <v>359</v>
      </c>
    </row>
    <row r="103" customFormat="false" ht="15" hidden="false" customHeight="true" outlineLevel="0" collapsed="false">
      <c r="A103" s="18" t="s">
        <v>69</v>
      </c>
      <c r="B103" s="18" t="s">
        <v>61</v>
      </c>
      <c r="C103" s="18" t="n">
        <v>2025</v>
      </c>
      <c r="D103" s="19" t="n">
        <v>2477</v>
      </c>
      <c r="E103" s="19" t="n">
        <v>244</v>
      </c>
      <c r="F103" s="19" t="n">
        <v>191</v>
      </c>
      <c r="G103" s="19" t="n">
        <v>36</v>
      </c>
      <c r="H103" s="19" t="n">
        <v>2109</v>
      </c>
      <c r="I103" s="19" t="n">
        <v>192</v>
      </c>
      <c r="J103" s="19" t="n">
        <v>2763</v>
      </c>
      <c r="K103" s="19" t="n">
        <v>272</v>
      </c>
      <c r="L103" s="20" t="n">
        <v>26.77</v>
      </c>
      <c r="M103" s="19" t="n">
        <v>1649</v>
      </c>
      <c r="N103" s="19" t="n">
        <v>426</v>
      </c>
    </row>
    <row r="104" customFormat="false" ht="15" hidden="false" customHeight="true" outlineLevel="0" collapsed="false">
      <c r="A104" s="21" t="s">
        <v>70</v>
      </c>
      <c r="B104" s="21" t="s">
        <v>61</v>
      </c>
      <c r="C104" s="21" t="n">
        <v>2015</v>
      </c>
      <c r="D104" s="22" t="n">
        <v>1496</v>
      </c>
      <c r="E104" s="22" t="n">
        <v>174</v>
      </c>
      <c r="F104" s="22" t="n">
        <v>79</v>
      </c>
      <c r="G104" s="22" t="n">
        <v>9</v>
      </c>
      <c r="H104" s="22" t="n">
        <v>426</v>
      </c>
      <c r="I104" s="22" t="n">
        <v>309</v>
      </c>
      <c r="J104" s="22" t="n">
        <v>981</v>
      </c>
      <c r="K104" s="22" t="n">
        <v>339</v>
      </c>
      <c r="L104" s="23" t="n">
        <v>16.8</v>
      </c>
      <c r="M104" s="22" t="n">
        <v>641</v>
      </c>
      <c r="N104" s="22" t="n">
        <v>236</v>
      </c>
    </row>
    <row r="105" customFormat="false" ht="15" hidden="false" customHeight="true" outlineLevel="0" collapsed="false">
      <c r="A105" s="21" t="s">
        <v>70</v>
      </c>
      <c r="B105" s="21" t="s">
        <v>61</v>
      </c>
      <c r="C105" s="21" t="n">
        <v>2016</v>
      </c>
      <c r="D105" s="22" t="n">
        <v>1609</v>
      </c>
      <c r="E105" s="22" t="n">
        <v>196</v>
      </c>
      <c r="F105" s="22" t="n">
        <v>84</v>
      </c>
      <c r="G105" s="22" t="n">
        <v>9</v>
      </c>
      <c r="H105" s="22" t="n">
        <v>497</v>
      </c>
      <c r="I105" s="22" t="n">
        <v>408</v>
      </c>
      <c r="J105" s="22" t="n">
        <v>1195</v>
      </c>
      <c r="K105" s="22" t="n">
        <v>403</v>
      </c>
      <c r="L105" s="23" t="n">
        <v>17.93</v>
      </c>
      <c r="M105" s="22" t="n">
        <v>778</v>
      </c>
      <c r="N105" s="22" t="n">
        <v>282</v>
      </c>
    </row>
    <row r="106" customFormat="false" ht="15" hidden="false" customHeight="true" outlineLevel="0" collapsed="false">
      <c r="A106" s="21" t="s">
        <v>70</v>
      </c>
      <c r="B106" s="21" t="s">
        <v>61</v>
      </c>
      <c r="C106" s="21" t="n">
        <v>2017</v>
      </c>
      <c r="D106" s="22" t="n">
        <v>1570</v>
      </c>
      <c r="E106" s="22" t="n">
        <v>197</v>
      </c>
      <c r="F106" s="22" t="n">
        <v>91</v>
      </c>
      <c r="G106" s="22" t="n">
        <v>9</v>
      </c>
      <c r="H106" s="22" t="n">
        <v>587</v>
      </c>
      <c r="I106" s="22" t="n">
        <v>305</v>
      </c>
      <c r="J106" s="22" t="n">
        <v>1159</v>
      </c>
      <c r="K106" s="22" t="n">
        <v>445</v>
      </c>
      <c r="L106" s="23" t="n">
        <v>19.41</v>
      </c>
      <c r="M106" s="22" t="n">
        <v>714</v>
      </c>
      <c r="N106" s="22" t="n">
        <v>258</v>
      </c>
    </row>
    <row r="107" customFormat="false" ht="15" hidden="false" customHeight="true" outlineLevel="0" collapsed="false">
      <c r="A107" s="21" t="s">
        <v>70</v>
      </c>
      <c r="B107" s="21" t="s">
        <v>61</v>
      </c>
      <c r="C107" s="21" t="n">
        <v>2018</v>
      </c>
      <c r="D107" s="22" t="n">
        <v>1733</v>
      </c>
      <c r="E107" s="22" t="n">
        <v>246</v>
      </c>
      <c r="F107" s="22" t="n">
        <v>112</v>
      </c>
      <c r="G107" s="22" t="n">
        <v>9</v>
      </c>
      <c r="H107" s="22" t="n">
        <v>669</v>
      </c>
      <c r="I107" s="22" t="n">
        <v>573</v>
      </c>
      <c r="J107" s="22" t="n">
        <v>1553</v>
      </c>
      <c r="K107" s="22" t="n">
        <v>532</v>
      </c>
      <c r="L107" s="23" t="n">
        <v>23.81</v>
      </c>
      <c r="M107" s="22" t="n">
        <v>989</v>
      </c>
      <c r="N107" s="22" t="n">
        <v>301</v>
      </c>
    </row>
    <row r="108" customFormat="false" ht="15" hidden="false" customHeight="true" outlineLevel="0" collapsed="false">
      <c r="A108" s="21" t="s">
        <v>70</v>
      </c>
      <c r="B108" s="21" t="s">
        <v>61</v>
      </c>
      <c r="C108" s="21" t="n">
        <v>2019</v>
      </c>
      <c r="D108" s="22" t="n">
        <v>1815</v>
      </c>
      <c r="E108" s="22" t="n">
        <v>241</v>
      </c>
      <c r="F108" s="22" t="n">
        <v>101</v>
      </c>
      <c r="G108" s="22" t="n">
        <v>9</v>
      </c>
      <c r="H108" s="22" t="n">
        <v>748</v>
      </c>
      <c r="I108" s="22" t="n">
        <v>444</v>
      </c>
      <c r="J108" s="22" t="n">
        <v>1505</v>
      </c>
      <c r="K108" s="22" t="n">
        <v>527</v>
      </c>
      <c r="L108" s="23" t="n">
        <v>21.58</v>
      </c>
      <c r="M108" s="22" t="n">
        <v>953</v>
      </c>
      <c r="N108" s="22" t="n">
        <v>303</v>
      </c>
    </row>
    <row r="109" customFormat="false" ht="15" hidden="false" customHeight="true" outlineLevel="0" collapsed="false">
      <c r="A109" s="21" t="s">
        <v>70</v>
      </c>
      <c r="B109" s="21" t="s">
        <v>61</v>
      </c>
      <c r="C109" s="21" t="n">
        <v>2020</v>
      </c>
      <c r="D109" s="22" t="n">
        <v>1698</v>
      </c>
      <c r="E109" s="22" t="n">
        <v>169</v>
      </c>
      <c r="F109" s="22" t="n">
        <v>72</v>
      </c>
      <c r="G109" s="22" t="n">
        <v>9</v>
      </c>
      <c r="H109" s="22" t="n">
        <v>758</v>
      </c>
      <c r="I109" s="22" t="n">
        <v>428</v>
      </c>
      <c r="J109" s="22" t="n">
        <v>1503</v>
      </c>
      <c r="K109" s="22" t="n">
        <v>552</v>
      </c>
      <c r="L109" s="23" t="n">
        <v>15.3</v>
      </c>
      <c r="M109" s="22" t="n">
        <v>926</v>
      </c>
      <c r="N109" s="22" t="n">
        <v>308</v>
      </c>
    </row>
    <row r="110" customFormat="false" ht="15" hidden="false" customHeight="true" outlineLevel="0" collapsed="false">
      <c r="A110" s="21" t="s">
        <v>70</v>
      </c>
      <c r="B110" s="21" t="s">
        <v>61</v>
      </c>
      <c r="C110" s="21" t="n">
        <v>2021</v>
      </c>
      <c r="D110" s="22" t="n">
        <v>1088</v>
      </c>
      <c r="E110" s="22" t="n">
        <v>55</v>
      </c>
      <c r="F110" s="22" t="n">
        <v>5</v>
      </c>
      <c r="G110" s="22" t="n">
        <v>9</v>
      </c>
      <c r="H110" s="22" t="n">
        <v>765</v>
      </c>
      <c r="I110" s="22" t="n">
        <v>139</v>
      </c>
      <c r="J110" s="22" t="n">
        <v>1217</v>
      </c>
      <c r="K110" s="22" t="n">
        <v>490</v>
      </c>
      <c r="L110" s="23" t="n">
        <v>1.14</v>
      </c>
      <c r="M110" s="22" t="n">
        <v>676</v>
      </c>
      <c r="N110" s="22" t="n">
        <v>304</v>
      </c>
    </row>
    <row r="111" customFormat="false" ht="15" hidden="false" customHeight="true" outlineLevel="0" collapsed="false">
      <c r="A111" s="21" t="s">
        <v>70</v>
      </c>
      <c r="B111" s="21" t="s">
        <v>61</v>
      </c>
      <c r="C111" s="21" t="n">
        <v>2022</v>
      </c>
      <c r="D111" s="22" t="n">
        <v>1903</v>
      </c>
      <c r="E111" s="22" t="n">
        <v>334</v>
      </c>
      <c r="F111" s="22" t="n">
        <v>213</v>
      </c>
      <c r="G111" s="22" t="n">
        <v>9</v>
      </c>
      <c r="H111" s="22" t="n">
        <v>928</v>
      </c>
      <c r="I111" s="22" t="n">
        <v>223</v>
      </c>
      <c r="J111" s="22" t="n">
        <v>1515</v>
      </c>
      <c r="K111" s="22" t="n">
        <v>500</v>
      </c>
      <c r="L111" s="23" t="n">
        <v>45.34</v>
      </c>
      <c r="M111" s="22" t="n">
        <v>967</v>
      </c>
      <c r="N111" s="22" t="n">
        <v>355</v>
      </c>
    </row>
    <row r="112" customFormat="false" ht="15" hidden="false" customHeight="true" outlineLevel="0" collapsed="false">
      <c r="A112" s="21" t="s">
        <v>70</v>
      </c>
      <c r="B112" s="21" t="s">
        <v>61</v>
      </c>
      <c r="C112" s="21" t="n">
        <v>2023</v>
      </c>
      <c r="D112" s="22" t="n">
        <v>2229</v>
      </c>
      <c r="E112" s="22" t="n">
        <v>369</v>
      </c>
      <c r="F112" s="22" t="n">
        <v>252</v>
      </c>
      <c r="G112" s="22" t="n">
        <v>9</v>
      </c>
      <c r="H112" s="22" t="n">
        <v>1132</v>
      </c>
      <c r="I112" s="22" t="n">
        <v>163</v>
      </c>
      <c r="J112" s="22" t="n">
        <v>1640</v>
      </c>
      <c r="K112" s="22" t="n">
        <v>482</v>
      </c>
      <c r="L112" s="23" t="n">
        <v>53.73</v>
      </c>
      <c r="M112" s="22" t="n">
        <v>1022</v>
      </c>
      <c r="N112" s="22" t="n">
        <v>336</v>
      </c>
    </row>
    <row r="113" customFormat="false" ht="15" hidden="false" customHeight="true" outlineLevel="0" collapsed="false">
      <c r="A113" s="21" t="s">
        <v>70</v>
      </c>
      <c r="B113" s="21" t="s">
        <v>61</v>
      </c>
      <c r="C113" s="21" t="n">
        <v>2024</v>
      </c>
      <c r="D113" s="22" t="n">
        <v>2087</v>
      </c>
      <c r="E113" s="22" t="n">
        <v>286</v>
      </c>
      <c r="F113" s="22" t="n">
        <v>185</v>
      </c>
      <c r="G113" s="22" t="n">
        <v>9</v>
      </c>
      <c r="H113" s="22" t="n">
        <v>1132</v>
      </c>
      <c r="I113" s="22" t="n">
        <v>175</v>
      </c>
      <c r="J113" s="22" t="n">
        <v>1606</v>
      </c>
      <c r="K113" s="22" t="n">
        <v>493</v>
      </c>
      <c r="L113" s="23" t="n">
        <v>40.7</v>
      </c>
      <c r="M113" s="22" t="n">
        <v>1072</v>
      </c>
      <c r="N113" s="22" t="n">
        <v>290</v>
      </c>
    </row>
    <row r="114" customFormat="false" ht="15" hidden="false" customHeight="true" outlineLevel="0" collapsed="false">
      <c r="A114" s="21" t="s">
        <v>70</v>
      </c>
      <c r="B114" s="21" t="s">
        <v>61</v>
      </c>
      <c r="C114" s="21" t="n">
        <v>2025</v>
      </c>
      <c r="D114" s="22" t="n">
        <v>2220</v>
      </c>
      <c r="E114" s="22" t="n">
        <v>277</v>
      </c>
      <c r="F114" s="22" t="n">
        <v>199</v>
      </c>
      <c r="G114" s="22" t="n">
        <v>9</v>
      </c>
      <c r="H114" s="22" t="n">
        <v>1279</v>
      </c>
      <c r="I114" s="22" t="n">
        <v>262</v>
      </c>
      <c r="J114" s="22" t="n">
        <v>1893</v>
      </c>
      <c r="K114" s="22" t="n">
        <v>592</v>
      </c>
      <c r="L114" s="23" t="n">
        <v>43.8</v>
      </c>
      <c r="M114" s="22" t="n">
        <v>1083</v>
      </c>
      <c r="N114" s="22" t="n">
        <v>342</v>
      </c>
    </row>
  </sheetData>
  <mergeCells count="2">
    <mergeCell ref="A1:K1"/>
    <mergeCell ref="A2:K2"/>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60</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72</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74</v>
      </c>
      <c r="C5" s="26"/>
      <c r="D5" s="26"/>
      <c r="E5" s="26"/>
      <c r="F5" s="26"/>
    </row>
    <row r="6" customFormat="false" ht="18" hidden="false" customHeight="true" outlineLevel="0" collapsed="false">
      <c r="A6" s="25" t="s">
        <v>75</v>
      </c>
      <c r="B6" s="26" t="s">
        <v>76</v>
      </c>
      <c r="C6" s="26"/>
      <c r="D6" s="26"/>
      <c r="E6" s="26"/>
      <c r="F6" s="26"/>
    </row>
    <row r="7" customFormat="false" ht="18" hidden="false" customHeight="true" outlineLevel="0" collapsed="false">
      <c r="A7" s="25" t="s">
        <v>77</v>
      </c>
      <c r="B7" s="26" t="s">
        <v>78</v>
      </c>
      <c r="C7" s="26"/>
      <c r="D7" s="26"/>
      <c r="E7" s="26"/>
      <c r="F7" s="26"/>
    </row>
    <row r="8" customFormat="false" ht="18" hidden="false" customHeight="true" outlineLevel="0" collapsed="false">
      <c r="A8" s="25" t="s">
        <v>79</v>
      </c>
      <c r="B8" s="26" t="s">
        <v>80</v>
      </c>
      <c r="C8" s="26"/>
      <c r="D8" s="26"/>
      <c r="E8" s="26"/>
      <c r="F8" s="26"/>
    </row>
    <row r="9" customFormat="false" ht="18" hidden="false" customHeight="true" outlineLevel="0" collapsed="false">
      <c r="A9" s="25" t="s">
        <v>81</v>
      </c>
      <c r="B9" s="26" t="s">
        <v>82</v>
      </c>
      <c r="C9" s="26"/>
      <c r="D9" s="26"/>
      <c r="E9" s="26"/>
      <c r="F9" s="26"/>
    </row>
    <row r="10" customFormat="false" ht="18" hidden="false" customHeight="true" outlineLevel="0" collapsed="false">
      <c r="A10" s="25" t="s">
        <v>83</v>
      </c>
      <c r="B10" s="26" t="s">
        <v>84</v>
      </c>
      <c r="C10" s="26"/>
      <c r="D10" s="26"/>
      <c r="E10" s="26"/>
      <c r="F10" s="26"/>
    </row>
    <row r="11" customFormat="false" ht="18" hidden="false" customHeight="true" outlineLevel="0" collapsed="false">
      <c r="A11" s="25" t="s">
        <v>85</v>
      </c>
      <c r="B11" s="26" t="s">
        <v>86</v>
      </c>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Data'!D6</f>
        <v>1961</v>
      </c>
      <c r="C15" s="28" t="n">
        <f aca="false">'Raw Data'!E6</f>
        <v>356</v>
      </c>
      <c r="D15" s="28" t="n">
        <f aca="false">'Raw Data'!F6</f>
        <v>156</v>
      </c>
      <c r="E15" s="28" t="n">
        <f aca="false">'Raw Data'!G6+'Raw Data'!H6</f>
        <v>981</v>
      </c>
      <c r="F15" s="28" t="n">
        <f aca="false">'Raw Data'!I6</f>
        <v>590</v>
      </c>
      <c r="G15" s="28" t="n">
        <f aca="false">'Raw Data'!J6</f>
        <v>1730</v>
      </c>
      <c r="H15" s="28" t="n">
        <f aca="false">'Raw Data'!K6</f>
        <v>894</v>
      </c>
      <c r="I15" s="29" t="n">
        <f aca="false">F15/E15</f>
        <v>0.601427115188583</v>
      </c>
      <c r="J15" s="30" t="n">
        <f aca="false">D15/E15</f>
        <v>0.159021406727829</v>
      </c>
      <c r="K15" s="30" t="n">
        <f aca="false">D15/G15</f>
        <v>0.0901734104046243</v>
      </c>
      <c r="L15" s="31" t="n">
        <f aca="false">LN(G15)</f>
        <v>7.45587668749182</v>
      </c>
      <c r="M15" s="30" t="n">
        <f aca="false">(B15-'Raw Data'!D5)/'Raw Data'!D5</f>
        <v>-0.0572115384615385</v>
      </c>
      <c r="N15" s="30" t="n">
        <f aca="false">H15/G15</f>
        <v>0.516763005780347</v>
      </c>
      <c r="O15" s="29" t="n">
        <f aca="false">'Raw Data'!L6</f>
        <v>4.14</v>
      </c>
      <c r="P15" s="29" t="n">
        <f aca="false">'Raw Data'!M6/'Raw Data'!N6</f>
        <v>4.7375</v>
      </c>
    </row>
    <row r="16" customFormat="false" ht="15" hidden="false" customHeight="true" outlineLevel="0" collapsed="false">
      <c r="A16" s="21" t="s">
        <v>100</v>
      </c>
      <c r="B16" s="32" t="n">
        <f aca="false">'Raw Data'!D7</f>
        <v>2219</v>
      </c>
      <c r="C16" s="32" t="n">
        <f aca="false">'Raw Data'!E7</f>
        <v>446</v>
      </c>
      <c r="D16" s="32" t="n">
        <f aca="false">'Raw Data'!F7</f>
        <v>238</v>
      </c>
      <c r="E16" s="32" t="n">
        <f aca="false">'Raw Data'!G7+'Raw Data'!H7</f>
        <v>1118</v>
      </c>
      <c r="F16" s="32" t="n">
        <f aca="false">'Raw Data'!I7</f>
        <v>491</v>
      </c>
      <c r="G16" s="32" t="n">
        <f aca="false">'Raw Data'!J7</f>
        <v>1800</v>
      </c>
      <c r="H16" s="32" t="n">
        <f aca="false">'Raw Data'!K7</f>
        <v>918</v>
      </c>
      <c r="I16" s="33" t="n">
        <f aca="false">F16/E16</f>
        <v>0.4391771019678</v>
      </c>
      <c r="J16" s="34" t="n">
        <f aca="false">D16/E16</f>
        <v>0.212880143112701</v>
      </c>
      <c r="K16" s="34" t="n">
        <f aca="false">D16/G16</f>
        <v>0.132222222222222</v>
      </c>
      <c r="L16" s="35" t="n">
        <f aca="false">LN(G16)</f>
        <v>7.49554194388426</v>
      </c>
      <c r="M16" s="34" t="n">
        <f aca="false">(B16-'Raw Data'!D6)/'Raw Data'!D6</f>
        <v>0.131565527791943</v>
      </c>
      <c r="N16" s="34" t="n">
        <f aca="false">H16/G16</f>
        <v>0.51</v>
      </c>
      <c r="O16" s="33" t="n">
        <f aca="false">'Raw Data'!L7</f>
        <v>6.45</v>
      </c>
      <c r="P16" s="33" t="n">
        <f aca="false">'Raw Data'!M7/'Raw Data'!N7</f>
        <v>4.15706806282723</v>
      </c>
    </row>
    <row r="17" customFormat="false" ht="15" hidden="false" customHeight="true" outlineLevel="0" collapsed="false">
      <c r="A17" s="18" t="s">
        <v>101</v>
      </c>
      <c r="B17" s="28" t="n">
        <f aca="false">'Raw Data'!D8</f>
        <v>2512</v>
      </c>
      <c r="C17" s="28" t="n">
        <f aca="false">'Raw Data'!E8</f>
        <v>429</v>
      </c>
      <c r="D17" s="28" t="n">
        <f aca="false">'Raw Data'!F8</f>
        <v>225</v>
      </c>
      <c r="E17" s="28" t="n">
        <f aca="false">'Raw Data'!G8+'Raw Data'!H8</f>
        <v>1337</v>
      </c>
      <c r="F17" s="28" t="n">
        <f aca="false">'Raw Data'!I8</f>
        <v>346</v>
      </c>
      <c r="G17" s="28" t="n">
        <f aca="false">'Raw Data'!J8</f>
        <v>1930</v>
      </c>
      <c r="H17" s="28" t="n">
        <f aca="false">'Raw Data'!K8</f>
        <v>865</v>
      </c>
      <c r="I17" s="29" t="n">
        <f aca="false">F17/E17</f>
        <v>0.258788332086761</v>
      </c>
      <c r="J17" s="30" t="n">
        <f aca="false">D17/E17</f>
        <v>0.168287210172027</v>
      </c>
      <c r="K17" s="30" t="n">
        <f aca="false">D17/G17</f>
        <v>0.116580310880829</v>
      </c>
      <c r="L17" s="31" t="n">
        <f aca="false">LN(G17)</f>
        <v>7.56527528189893</v>
      </c>
      <c r="M17" s="30" t="n">
        <f aca="false">(B17-'Raw Data'!D7)/'Raw Data'!D7</f>
        <v>0.13204146011717</v>
      </c>
      <c r="N17" s="30" t="n">
        <f aca="false">H17/G17</f>
        <v>0.448186528497409</v>
      </c>
      <c r="O17" s="29" t="n">
        <f aca="false">'Raw Data'!L8</f>
        <v>6.09</v>
      </c>
      <c r="P17" s="29" t="n">
        <f aca="false">'Raw Data'!M8/'Raw Data'!N8</f>
        <v>3.94736842105263</v>
      </c>
    </row>
    <row r="18" customFormat="false" ht="15" hidden="false" customHeight="true" outlineLevel="0" collapsed="false">
      <c r="A18" s="21" t="s">
        <v>102</v>
      </c>
      <c r="B18" s="32" t="n">
        <f aca="false">'Raw Data'!D9</f>
        <v>2979</v>
      </c>
      <c r="C18" s="32" t="n">
        <f aca="false">'Raw Data'!E9</f>
        <v>507</v>
      </c>
      <c r="D18" s="32" t="n">
        <f aca="false">'Raw Data'!F9</f>
        <v>289</v>
      </c>
      <c r="E18" s="32" t="n">
        <f aca="false">'Raw Data'!G9+'Raw Data'!H9</f>
        <v>1511</v>
      </c>
      <c r="F18" s="32" t="n">
        <f aca="false">'Raw Data'!I9</f>
        <v>654</v>
      </c>
      <c r="G18" s="32" t="n">
        <f aca="false">'Raw Data'!J9</f>
        <v>2397</v>
      </c>
      <c r="H18" s="32" t="n">
        <f aca="false">'Raw Data'!K9</f>
        <v>798</v>
      </c>
      <c r="I18" s="33" t="n">
        <f aca="false">F18/E18</f>
        <v>0.43282594308405</v>
      </c>
      <c r="J18" s="34" t="n">
        <f aca="false">D18/E18</f>
        <v>0.191264063534083</v>
      </c>
      <c r="K18" s="34" t="n">
        <f aca="false">D18/G18</f>
        <v>0.120567375886525</v>
      </c>
      <c r="L18" s="35" t="n">
        <f aca="false">LN(G18)</f>
        <v>7.78197323443439</v>
      </c>
      <c r="M18" s="34" t="n">
        <f aca="false">(B18-'Raw Data'!D8)/'Raw Data'!D8</f>
        <v>0.185907643312102</v>
      </c>
      <c r="N18" s="34" t="n">
        <f aca="false">H18/G18</f>
        <v>0.332916145181477</v>
      </c>
      <c r="O18" s="33" t="n">
        <f aca="false">'Raw Data'!L9</f>
        <v>7.97</v>
      </c>
      <c r="P18" s="33" t="n">
        <f aca="false">'Raw Data'!M9/'Raw Data'!N9</f>
        <v>6.54741379310345</v>
      </c>
    </row>
    <row r="19" customFormat="false" ht="15" hidden="false" customHeight="true" outlineLevel="0" collapsed="false">
      <c r="A19" s="18" t="s">
        <v>103</v>
      </c>
      <c r="B19" s="28" t="n">
        <f aca="false">'Raw Data'!D10</f>
        <v>2898</v>
      </c>
      <c r="C19" s="28" t="n">
        <f aca="false">'Raw Data'!E10</f>
        <v>475</v>
      </c>
      <c r="D19" s="28" t="n">
        <f aca="false">'Raw Data'!F10</f>
        <v>295</v>
      </c>
      <c r="E19" s="28" t="n">
        <f aca="false">'Raw Data'!G10+'Raw Data'!H10</f>
        <v>1504</v>
      </c>
      <c r="F19" s="28" t="n">
        <f aca="false">'Raw Data'!I10</f>
        <v>472</v>
      </c>
      <c r="G19" s="28" t="n">
        <f aca="false">'Raw Data'!J10</f>
        <v>2187</v>
      </c>
      <c r="H19" s="28" t="n">
        <f aca="false">'Raw Data'!K10</f>
        <v>873</v>
      </c>
      <c r="I19" s="29" t="n">
        <f aca="false">F19/E19</f>
        <v>0.313829787234043</v>
      </c>
      <c r="J19" s="30" t="n">
        <f aca="false">D19/E19</f>
        <v>0.196143617021277</v>
      </c>
      <c r="K19" s="30" t="n">
        <f aca="false">D19/G19</f>
        <v>0.134887974394147</v>
      </c>
      <c r="L19" s="31" t="n">
        <f aca="false">LN(G19)</f>
        <v>7.69028602067677</v>
      </c>
      <c r="M19" s="30" t="n">
        <f aca="false">(B19-'Raw Data'!D9)/'Raw Data'!D9</f>
        <v>-0.027190332326284</v>
      </c>
      <c r="N19" s="30" t="n">
        <f aca="false">H19/G19</f>
        <v>0.39917695473251</v>
      </c>
      <c r="O19" s="29" t="n">
        <f aca="false">'Raw Data'!L10</f>
        <v>8.56</v>
      </c>
      <c r="P19" s="29" t="n">
        <f aca="false">'Raw Data'!M10/'Raw Data'!N10</f>
        <v>5.80568720379147</v>
      </c>
    </row>
    <row r="20" customFormat="false" ht="15" hidden="false" customHeight="true" outlineLevel="0" collapsed="false">
      <c r="A20" s="21" t="s">
        <v>104</v>
      </c>
      <c r="B20" s="32" t="n">
        <f aca="false">'Raw Data'!D11</f>
        <v>2954</v>
      </c>
      <c r="C20" s="32" t="n">
        <f aca="false">'Raw Data'!E11</f>
        <v>664</v>
      </c>
      <c r="D20" s="32" t="n">
        <f aca="false">'Raw Data'!F11</f>
        <v>433</v>
      </c>
      <c r="E20" s="32" t="n">
        <f aca="false">'Raw Data'!G11+'Raw Data'!H11</f>
        <v>1906</v>
      </c>
      <c r="F20" s="32" t="n">
        <f aca="false">'Raw Data'!I11</f>
        <v>317</v>
      </c>
      <c r="G20" s="32" t="n">
        <f aca="false">'Raw Data'!J11</f>
        <v>2485</v>
      </c>
      <c r="H20" s="32" t="n">
        <f aca="false">'Raw Data'!K11</f>
        <v>815</v>
      </c>
      <c r="I20" s="33" t="n">
        <f aca="false">F20/E20</f>
        <v>0.166316894018888</v>
      </c>
      <c r="J20" s="34" t="n">
        <f aca="false">D20/E20</f>
        <v>0.227177334732424</v>
      </c>
      <c r="K20" s="34" t="n">
        <f aca="false">D20/G20</f>
        <v>0.174245472837022</v>
      </c>
      <c r="L20" s="35" t="n">
        <f aca="false">LN(G20)</f>
        <v>7.81802793853073</v>
      </c>
      <c r="M20" s="34" t="n">
        <f aca="false">(B20-'Raw Data'!D10)/'Raw Data'!D10</f>
        <v>0.0193236714975845</v>
      </c>
      <c r="N20" s="34" t="n">
        <f aca="false">H20/G20</f>
        <v>0.327967806841046</v>
      </c>
      <c r="O20" s="33" t="n">
        <f aca="false">'Raw Data'!L11</f>
        <v>12.57</v>
      </c>
      <c r="P20" s="33" t="n">
        <f aca="false">'Raw Data'!M11/'Raw Data'!N11</f>
        <v>4.77099236641221</v>
      </c>
    </row>
    <row r="21" customFormat="false" ht="15" hidden="false" customHeight="true" outlineLevel="0" collapsed="false">
      <c r="A21" s="18" t="s">
        <v>105</v>
      </c>
      <c r="B21" s="28" t="n">
        <f aca="false">'Raw Data'!D12</f>
        <v>4074</v>
      </c>
      <c r="C21" s="28" t="n">
        <f aca="false">'Raw Data'!E12</f>
        <v>984</v>
      </c>
      <c r="D21" s="28" t="n">
        <f aca="false">'Raw Data'!F12</f>
        <v>731</v>
      </c>
      <c r="E21" s="28" t="n">
        <f aca="false">'Raw Data'!G12+'Raw Data'!H12</f>
        <v>2632</v>
      </c>
      <c r="F21" s="28" t="n">
        <f aca="false">'Raw Data'!I12</f>
        <v>418</v>
      </c>
      <c r="G21" s="28" t="n">
        <f aca="false">'Raw Data'!J12</f>
        <v>3359</v>
      </c>
      <c r="H21" s="28" t="n">
        <f aca="false">'Raw Data'!K12</f>
        <v>850</v>
      </c>
      <c r="I21" s="29" t="n">
        <f aca="false">F21/E21</f>
        <v>0.158814589665653</v>
      </c>
      <c r="J21" s="30" t="n">
        <f aca="false">D21/E21</f>
        <v>0.27773556231003</v>
      </c>
      <c r="K21" s="30" t="n">
        <f aca="false">D21/G21</f>
        <v>0.217624292944329</v>
      </c>
      <c r="L21" s="31" t="n">
        <f aca="false">LN(G21)</f>
        <v>8.11939858961229</v>
      </c>
      <c r="M21" s="30" t="n">
        <f aca="false">(B21-'Raw Data'!D11)/'Raw Data'!D11</f>
        <v>0.37914691943128</v>
      </c>
      <c r="N21" s="30" t="n">
        <f aca="false">H21/G21</f>
        <v>0.253051503423638</v>
      </c>
      <c r="O21" s="29" t="n">
        <f aca="false">'Raw Data'!L12</f>
        <v>21.24</v>
      </c>
      <c r="P21" s="29" t="n">
        <f aca="false">'Raw Data'!M12/'Raw Data'!N12</f>
        <v>5.35922330097087</v>
      </c>
    </row>
    <row r="22" customFormat="false" ht="15" hidden="false" customHeight="true" outlineLevel="0" collapsed="false">
      <c r="A22" s="21" t="s">
        <v>106</v>
      </c>
      <c r="B22" s="32" t="n">
        <f aca="false">'Raw Data'!D13</f>
        <v>4740</v>
      </c>
      <c r="C22" s="32" t="n">
        <f aca="false">'Raw Data'!E13</f>
        <v>799</v>
      </c>
      <c r="D22" s="32" t="n">
        <f aca="false">'Raw Data'!F13</f>
        <v>635</v>
      </c>
      <c r="E22" s="32" t="n">
        <f aca="false">'Raw Data'!G13+'Raw Data'!H13</f>
        <v>2973</v>
      </c>
      <c r="F22" s="32" t="n">
        <f aca="false">'Raw Data'!I13</f>
        <v>498</v>
      </c>
      <c r="G22" s="32" t="n">
        <f aca="false">'Raw Data'!J13</f>
        <v>3874</v>
      </c>
      <c r="H22" s="32" t="n">
        <f aca="false">'Raw Data'!K13</f>
        <v>971</v>
      </c>
      <c r="I22" s="33" t="n">
        <f aca="false">F22/E22</f>
        <v>0.167507568113017</v>
      </c>
      <c r="J22" s="34" t="n">
        <f aca="false">D22/E22</f>
        <v>0.213588967373024</v>
      </c>
      <c r="K22" s="34" t="n">
        <f aca="false">D22/G22</f>
        <v>0.163913267940114</v>
      </c>
      <c r="L22" s="35" t="n">
        <f aca="false">LN(G22)</f>
        <v>8.26204284396694</v>
      </c>
      <c r="M22" s="34" t="n">
        <f aca="false">(B22-'Raw Data'!D12)/'Raw Data'!D12</f>
        <v>0.163475699558174</v>
      </c>
      <c r="N22" s="34" t="n">
        <f aca="false">H22/G22</f>
        <v>0.250645327826536</v>
      </c>
      <c r="O22" s="33" t="n">
        <f aca="false">'Raw Data'!L13</f>
        <v>18.58</v>
      </c>
      <c r="P22" s="33" t="n">
        <f aca="false">'Raw Data'!M13/'Raw Data'!N13</f>
        <v>5.00744416873449</v>
      </c>
    </row>
    <row r="23" customFormat="false" ht="15" hidden="false" customHeight="true" outlineLevel="0" collapsed="false">
      <c r="A23" s="18" t="s">
        <v>107</v>
      </c>
      <c r="B23" s="28" t="n">
        <f aca="false">'Raw Data'!D14</f>
        <v>4054</v>
      </c>
      <c r="C23" s="28" t="n">
        <f aca="false">'Raw Data'!E14</f>
        <v>595</v>
      </c>
      <c r="D23" s="28" t="n">
        <f aca="false">'Raw Data'!F14</f>
        <v>555</v>
      </c>
      <c r="E23" s="28" t="n">
        <f aca="false">'Raw Data'!G14+'Raw Data'!H14</f>
        <v>3374</v>
      </c>
      <c r="F23" s="28" t="n">
        <f aca="false">'Raw Data'!I14</f>
        <v>287</v>
      </c>
      <c r="G23" s="28" t="n">
        <f aca="false">'Raw Data'!J14</f>
        <v>3919</v>
      </c>
      <c r="H23" s="28" t="n">
        <f aca="false">'Raw Data'!K14</f>
        <v>1070</v>
      </c>
      <c r="I23" s="29" t="n">
        <f aca="false">F23/E23</f>
        <v>0.0850622406639004</v>
      </c>
      <c r="J23" s="30" t="n">
        <f aca="false">D23/E23</f>
        <v>0.164493183165382</v>
      </c>
      <c r="K23" s="30" t="n">
        <f aca="false">D23/G23</f>
        <v>0.141617759632559</v>
      </c>
      <c r="L23" s="31" t="n">
        <f aca="false">LN(G23)</f>
        <v>8.27359179819963</v>
      </c>
      <c r="M23" s="30" t="n">
        <f aca="false">(B23-'Raw Data'!D13)/'Raw Data'!D13</f>
        <v>-0.144725738396624</v>
      </c>
      <c r="N23" s="30" t="n">
        <f aca="false">H23/G23</f>
        <v>0.273028833886196</v>
      </c>
      <c r="O23" s="29" t="n">
        <f aca="false">'Raw Data'!L14</f>
        <v>16.23</v>
      </c>
      <c r="P23" s="29" t="n">
        <f aca="false">'Raw Data'!M14/'Raw Data'!N14</f>
        <v>8.09302325581395</v>
      </c>
    </row>
    <row r="24" customFormat="false" ht="15" hidden="false" customHeight="true" outlineLevel="0" collapsed="false">
      <c r="A24" s="21" t="s">
        <v>108</v>
      </c>
      <c r="B24" s="32" t="n">
        <f aca="false">'Raw Data'!D15</f>
        <v>4216</v>
      </c>
      <c r="C24" s="32" t="n">
        <f aca="false">'Raw Data'!E15</f>
        <v>764</v>
      </c>
      <c r="D24" s="32" t="n">
        <f aca="false">'Raw Data'!F15</f>
        <v>653</v>
      </c>
      <c r="E24" s="32" t="n">
        <f aca="false">'Raw Data'!G15+'Raw Data'!H15</f>
        <v>3856</v>
      </c>
      <c r="F24" s="32" t="n">
        <f aca="false">'Raw Data'!I15</f>
        <v>241</v>
      </c>
      <c r="G24" s="32" t="n">
        <f aca="false">'Raw Data'!J15</f>
        <v>4403</v>
      </c>
      <c r="H24" s="32" t="n">
        <f aca="false">'Raw Data'!K15</f>
        <v>1122</v>
      </c>
      <c r="I24" s="33" t="n">
        <f aca="false">F24/E24</f>
        <v>0.0625</v>
      </c>
      <c r="J24" s="34" t="n">
        <f aca="false">D24/E24</f>
        <v>0.169346473029046</v>
      </c>
      <c r="K24" s="34" t="n">
        <f aca="false">D24/G24</f>
        <v>0.148307971837384</v>
      </c>
      <c r="L24" s="35" t="n">
        <f aca="false">LN(G24)</f>
        <v>8.39004140575575</v>
      </c>
      <c r="M24" s="34" t="n">
        <f aca="false">(B24-'Raw Data'!D14)/'Raw Data'!D14</f>
        <v>0.0399605328071041</v>
      </c>
      <c r="N24" s="34" t="n">
        <f aca="false">H24/G24</f>
        <v>0.254826254826255</v>
      </c>
      <c r="O24" s="33" t="n">
        <f aca="false">'Raw Data'!L15</f>
        <v>19.11</v>
      </c>
      <c r="P24" s="33" t="n">
        <f aca="false">'Raw Data'!M15/'Raw Data'!N15</f>
        <v>7.60130718954248</v>
      </c>
    </row>
    <row r="25" customFormat="false" ht="15" hidden="false" customHeight="true" outlineLevel="0" collapsed="false">
      <c r="A25" s="36" t="s">
        <v>109</v>
      </c>
      <c r="B25" s="37" t="n">
        <f aca="false">AVERAGE(B15:B24)</f>
        <v>3260.7</v>
      </c>
      <c r="C25" s="37" t="n">
        <f aca="false">AVERAGE(C15:C24)</f>
        <v>601.9</v>
      </c>
      <c r="D25" s="37" t="n">
        <f aca="false">AVERAGE(D15:D24)</f>
        <v>421</v>
      </c>
      <c r="E25" s="37" t="n">
        <f aca="false">AVERAGE(E15:E24)</f>
        <v>2119.2</v>
      </c>
      <c r="F25" s="37" t="n">
        <f aca="false">AVERAGE(F15:F24)</f>
        <v>431.4</v>
      </c>
      <c r="G25" s="37" t="n">
        <f aca="false">AVERAGE(G15:G24)</f>
        <v>2808.4</v>
      </c>
      <c r="H25" s="37" t="n">
        <f aca="false">AVERAGE(H15:H24)</f>
        <v>917.6</v>
      </c>
      <c r="I25" s="38" t="n">
        <f aca="false">AVERAGE(I15:I24)</f>
        <v>0.26862495720227</v>
      </c>
      <c r="J25" s="39" t="n">
        <f aca="false">AVERAGE(J15:J24)</f>
        <v>0.197993796117782</v>
      </c>
      <c r="K25" s="39" t="n">
        <f aca="false">AVERAGE(K15:K24)</f>
        <v>0.144014005897975</v>
      </c>
      <c r="L25" s="40" t="n">
        <f aca="false">AVERAGE(L15:L24)</f>
        <v>7.88520557444515</v>
      </c>
      <c r="M25" s="39" t="n">
        <f aca="false">AVERAGE(M15:M24)</f>
        <v>0.082229384533091</v>
      </c>
      <c r="N25" s="39" t="n">
        <f aca="false">AVERAGE(N15:N24)</f>
        <v>0.356656236099541</v>
      </c>
      <c r="O25" s="38" t="n">
        <f aca="false">AVERAGE(O15:O24)</f>
        <v>12.094</v>
      </c>
      <c r="P25" s="38" t="n">
        <f aca="false">AVERAGE(P15:P24)</f>
        <v>5.60270277622488</v>
      </c>
    </row>
    <row r="27" customFormat="false" ht="15" hidden="false" customHeight="true" outlineLevel="0" collapsed="false">
      <c r="A27" s="41" t="s">
        <v>110</v>
      </c>
      <c r="I27" s="42" t="n">
        <f aca="false">STDEV(I15:I24)</f>
        <v>0.175714497578238</v>
      </c>
      <c r="J27" s="43" t="n">
        <f aca="false">STDEV(J15:J24)</f>
        <v>0.0366185167638417</v>
      </c>
      <c r="K27" s="43" t="n">
        <f aca="false">STDEV(K15:K24)</f>
        <v>0.0352389764313121</v>
      </c>
      <c r="O27" s="42" t="n">
        <f aca="false">STDEV(O15:O24)</f>
        <v>6.26223460293705</v>
      </c>
      <c r="P27" s="42" t="n">
        <f aca="false">STDEV(P15:P24)</f>
        <v>1.40687683823555</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62</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111</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112</v>
      </c>
      <c r="C5" s="26"/>
      <c r="D5" s="26"/>
      <c r="E5" s="26"/>
      <c r="F5" s="26"/>
    </row>
    <row r="6" customFormat="false" ht="18" hidden="false" customHeight="true" outlineLevel="0" collapsed="false">
      <c r="A6" s="25" t="s">
        <v>75</v>
      </c>
      <c r="B6" s="26" t="s">
        <v>113</v>
      </c>
      <c r="C6" s="26"/>
      <c r="D6" s="26"/>
      <c r="E6" s="26"/>
      <c r="F6" s="26"/>
    </row>
    <row r="7" customFormat="false" ht="18" hidden="false" customHeight="true" outlineLevel="0" collapsed="false">
      <c r="A7" s="25" t="s">
        <v>77</v>
      </c>
      <c r="B7" s="26" t="s">
        <v>114</v>
      </c>
      <c r="C7" s="26"/>
      <c r="D7" s="26"/>
      <c r="E7" s="26"/>
      <c r="F7" s="26"/>
    </row>
    <row r="8" customFormat="false" ht="18" hidden="false" customHeight="true" outlineLevel="0" collapsed="false">
      <c r="A8" s="25" t="s">
        <v>79</v>
      </c>
      <c r="B8" s="26" t="s">
        <v>115</v>
      </c>
      <c r="C8" s="26"/>
      <c r="D8" s="26"/>
      <c r="E8" s="26"/>
      <c r="F8" s="26"/>
    </row>
    <row r="9" customFormat="false" ht="18" hidden="false" customHeight="true" outlineLevel="0" collapsed="false">
      <c r="A9" s="25" t="s">
        <v>81</v>
      </c>
      <c r="B9" s="26" t="s">
        <v>116</v>
      </c>
      <c r="C9" s="26"/>
      <c r="D9" s="26"/>
      <c r="E9" s="26"/>
      <c r="F9" s="26"/>
    </row>
    <row r="10" customFormat="false" ht="18" hidden="false" customHeight="true" outlineLevel="0" collapsed="false">
      <c r="A10" s="25" t="s">
        <v>83</v>
      </c>
      <c r="B10" s="26" t="s">
        <v>117</v>
      </c>
      <c r="C10" s="26"/>
      <c r="D10" s="26"/>
      <c r="E10" s="26"/>
      <c r="F10" s="26"/>
    </row>
    <row r="11" customFormat="false" ht="18" hidden="false" customHeight="true" outlineLevel="0" collapsed="false">
      <c r="A11" s="25" t="s">
        <v>85</v>
      </c>
      <c r="B11" s="26" t="s">
        <v>86</v>
      </c>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Data'!D17</f>
        <v>4885</v>
      </c>
      <c r="C15" s="28" t="n">
        <f aca="false">'Raw Data'!E17</f>
        <v>1275</v>
      </c>
      <c r="D15" s="28" t="n">
        <f aca="false">'Raw Data'!F17</f>
        <v>648</v>
      </c>
      <c r="E15" s="28" t="n">
        <f aca="false">'Raw Data'!G17+'Raw Data'!H17</f>
        <v>1899</v>
      </c>
      <c r="F15" s="28" t="n">
        <f aca="false">'Raw Data'!I17</f>
        <v>2566</v>
      </c>
      <c r="G15" s="28" t="n">
        <f aca="false">'Raw Data'!J17</f>
        <v>5362</v>
      </c>
      <c r="H15" s="28" t="n">
        <f aca="false">'Raw Data'!K17</f>
        <v>2830</v>
      </c>
      <c r="I15" s="29" t="n">
        <f aca="false">F15/E15</f>
        <v>1.35123749341759</v>
      </c>
      <c r="J15" s="30" t="n">
        <f aca="false">D15/E15</f>
        <v>0.341232227488152</v>
      </c>
      <c r="K15" s="30" t="n">
        <f aca="false">D15/G15</f>
        <v>0.120850428944424</v>
      </c>
      <c r="L15" s="31" t="n">
        <f aca="false">LN(G15)</f>
        <v>8.58709231879591</v>
      </c>
      <c r="M15" s="30" t="n">
        <f aca="false">(B15-'Raw Data'!D16)/'Raw Data'!D16</f>
        <v>0.112756264236902</v>
      </c>
      <c r="N15" s="30" t="n">
        <f aca="false">H15/G15</f>
        <v>0.527788138754196</v>
      </c>
      <c r="O15" s="29" t="n">
        <f aca="false">'Raw Data'!L17</f>
        <v>6.45</v>
      </c>
      <c r="P15" s="29" t="n">
        <f aca="false">'Raw Data'!M17/'Raw Data'!N17</f>
        <v>2.0546875</v>
      </c>
    </row>
    <row r="16" customFormat="false" ht="15" hidden="false" customHeight="true" outlineLevel="0" collapsed="false">
      <c r="A16" s="21" t="s">
        <v>100</v>
      </c>
      <c r="B16" s="32" t="n">
        <f aca="false">'Raw Data'!D18</f>
        <v>5639</v>
      </c>
      <c r="C16" s="32" t="n">
        <f aca="false">'Raw Data'!E18</f>
        <v>1370</v>
      </c>
      <c r="D16" s="32" t="n">
        <f aca="false">'Raw Data'!F18</f>
        <v>307</v>
      </c>
      <c r="E16" s="32" t="n">
        <f aca="false">'Raw Data'!G18+'Raw Data'!H18</f>
        <v>2201</v>
      </c>
      <c r="F16" s="32" t="n">
        <f aca="false">'Raw Data'!I18</f>
        <v>2738</v>
      </c>
      <c r="G16" s="32" t="n">
        <f aca="false">'Raw Data'!J18</f>
        <v>6248</v>
      </c>
      <c r="H16" s="32" t="n">
        <f aca="false">'Raw Data'!K18</f>
        <v>3057</v>
      </c>
      <c r="I16" s="33" t="n">
        <f aca="false">F16/E16</f>
        <v>1.24398000908678</v>
      </c>
      <c r="J16" s="34" t="n">
        <f aca="false">D16/E16</f>
        <v>0.139482053611995</v>
      </c>
      <c r="K16" s="34" t="n">
        <f aca="false">D16/G16</f>
        <v>0.0491357234314981</v>
      </c>
      <c r="L16" s="35" t="n">
        <f aca="false">LN(G16)</f>
        <v>8.74001669151952</v>
      </c>
      <c r="M16" s="34" t="n">
        <f aca="false">(B16-'Raw Data'!D17)/'Raw Data'!D17</f>
        <v>0.154350051177073</v>
      </c>
      <c r="N16" s="34" t="n">
        <f aca="false">H16/G16</f>
        <v>0.489276568501921</v>
      </c>
      <c r="O16" s="33" t="n">
        <f aca="false">'Raw Data'!L18</f>
        <v>3.05</v>
      </c>
      <c r="P16" s="33" t="n">
        <f aca="false">'Raw Data'!M18/'Raw Data'!N18</f>
        <v>1.80810397553517</v>
      </c>
    </row>
    <row r="17" customFormat="false" ht="15" hidden="false" customHeight="true" outlineLevel="0" collapsed="false">
      <c r="A17" s="18" t="s">
        <v>101</v>
      </c>
      <c r="B17" s="28" t="n">
        <f aca="false">'Raw Data'!D19</f>
        <v>4977</v>
      </c>
      <c r="C17" s="28" t="n">
        <f aca="false">'Raw Data'!E19</f>
        <v>894</v>
      </c>
      <c r="D17" s="28" t="n">
        <f aca="false">'Raw Data'!F19</f>
        <v>304</v>
      </c>
      <c r="E17" s="28" t="n">
        <f aca="false">'Raw Data'!G19+'Raw Data'!H19</f>
        <v>2429</v>
      </c>
      <c r="F17" s="28" t="n">
        <f aca="false">'Raw Data'!I19</f>
        <v>2721</v>
      </c>
      <c r="G17" s="28" t="n">
        <f aca="false">'Raw Data'!J19</f>
        <v>6248</v>
      </c>
      <c r="H17" s="28" t="n">
        <f aca="false">'Raw Data'!K19</f>
        <v>2846</v>
      </c>
      <c r="I17" s="29" t="n">
        <f aca="false">F17/E17</f>
        <v>1.12021407986826</v>
      </c>
      <c r="J17" s="30" t="n">
        <f aca="false">D17/E17</f>
        <v>0.125154384520379</v>
      </c>
      <c r="K17" s="30" t="n">
        <f aca="false">D17/G17</f>
        <v>0.0486555697823304</v>
      </c>
      <c r="L17" s="31" t="n">
        <f aca="false">LN(G17)</f>
        <v>8.74001669151952</v>
      </c>
      <c r="M17" s="30" t="n">
        <f aca="false">(B17-'Raw Data'!D18)/'Raw Data'!D18</f>
        <v>-0.117396701542827</v>
      </c>
      <c r="N17" s="30" t="n">
        <f aca="false">H17/G17</f>
        <v>0.45550576184379</v>
      </c>
      <c r="O17" s="29" t="n">
        <f aca="false">'Raw Data'!L19</f>
        <v>3.03</v>
      </c>
      <c r="P17" s="29" t="n">
        <f aca="false">'Raw Data'!M19/'Raw Data'!N19</f>
        <v>2.27479526842584</v>
      </c>
    </row>
    <row r="18" customFormat="false" ht="15" hidden="false" customHeight="true" outlineLevel="0" collapsed="false">
      <c r="A18" s="21" t="s">
        <v>102</v>
      </c>
      <c r="B18" s="32" t="n">
        <f aca="false">'Raw Data'!D20</f>
        <v>5395</v>
      </c>
      <c r="C18" s="32" t="n">
        <f aca="false">'Raw Data'!E20</f>
        <v>795</v>
      </c>
      <c r="D18" s="32" t="n">
        <f aca="false">'Raw Data'!F20</f>
        <v>142</v>
      </c>
      <c r="E18" s="32" t="n">
        <f aca="false">'Raw Data'!G20+'Raw Data'!H20</f>
        <v>2489</v>
      </c>
      <c r="F18" s="32" t="n">
        <f aca="false">'Raw Data'!I20</f>
        <v>2510</v>
      </c>
      <c r="G18" s="32" t="n">
        <f aca="false">'Raw Data'!J20</f>
        <v>6264</v>
      </c>
      <c r="H18" s="32" t="n">
        <f aca="false">'Raw Data'!K20</f>
        <v>2654</v>
      </c>
      <c r="I18" s="33" t="n">
        <f aca="false">F18/E18</f>
        <v>1.00843712334271</v>
      </c>
      <c r="J18" s="34" t="n">
        <f aca="false">D18/E18</f>
        <v>0.0570510245078345</v>
      </c>
      <c r="K18" s="34" t="n">
        <f aca="false">D18/G18</f>
        <v>0.022669220945083</v>
      </c>
      <c r="L18" s="35" t="n">
        <f aca="false">LN(G18)</f>
        <v>8.74257423767064</v>
      </c>
      <c r="M18" s="34" t="n">
        <f aca="false">(B18-'Raw Data'!D19)/'Raw Data'!D19</f>
        <v>0.0839863371508941</v>
      </c>
      <c r="N18" s="34" t="n">
        <f aca="false">H18/G18</f>
        <v>0.423690932311622</v>
      </c>
      <c r="O18" s="33" t="n">
        <f aca="false">'Raw Data'!L20</f>
        <v>1.41</v>
      </c>
      <c r="P18" s="33" t="n">
        <f aca="false">'Raw Data'!M20/'Raw Data'!N20</f>
        <v>2.00237341772152</v>
      </c>
    </row>
    <row r="19" customFormat="false" ht="15" hidden="false" customHeight="true" outlineLevel="0" collapsed="false">
      <c r="A19" s="18" t="s">
        <v>103</v>
      </c>
      <c r="B19" s="28" t="n">
        <f aca="false">'Raw Data'!D21</f>
        <v>5324</v>
      </c>
      <c r="C19" s="28" t="n">
        <f aca="false">'Raw Data'!E21</f>
        <v>1009</v>
      </c>
      <c r="D19" s="28" t="n">
        <f aca="false">'Raw Data'!F21</f>
        <v>475</v>
      </c>
      <c r="E19" s="28" t="n">
        <f aca="false">'Raw Data'!G21+'Raw Data'!H21</f>
        <v>2807</v>
      </c>
      <c r="F19" s="28" t="n">
        <f aca="false">'Raw Data'!I21</f>
        <v>2275</v>
      </c>
      <c r="G19" s="28" t="n">
        <f aca="false">'Raw Data'!J21</f>
        <v>6221</v>
      </c>
      <c r="H19" s="28" t="n">
        <f aca="false">'Raw Data'!K21</f>
        <v>2385</v>
      </c>
      <c r="I19" s="29" t="n">
        <f aca="false">F19/E19</f>
        <v>0.810473815461347</v>
      </c>
      <c r="J19" s="30" t="n">
        <f aca="false">D19/E19</f>
        <v>0.169219807623798</v>
      </c>
      <c r="K19" s="30" t="n">
        <f aca="false">D19/G19</f>
        <v>0.0763542838771902</v>
      </c>
      <c r="L19" s="31" t="n">
        <f aca="false">LN(G19)</f>
        <v>8.73568594451502</v>
      </c>
      <c r="M19" s="30" t="n">
        <f aca="false">(B19-'Raw Data'!D20)/'Raw Data'!D20</f>
        <v>-0.0131603336422614</v>
      </c>
      <c r="N19" s="30" t="n">
        <f aca="false">H19/G19</f>
        <v>0.383378877993892</v>
      </c>
      <c r="O19" s="29" t="n">
        <f aca="false">'Raw Data'!L21</f>
        <v>4.73</v>
      </c>
      <c r="P19" s="29" t="n">
        <f aca="false">'Raw Data'!M21/'Raw Data'!N21</f>
        <v>2.18261633011414</v>
      </c>
    </row>
    <row r="20" customFormat="false" ht="15" hidden="false" customHeight="true" outlineLevel="0" collapsed="false">
      <c r="A20" s="21" t="s">
        <v>104</v>
      </c>
      <c r="B20" s="32" t="n">
        <f aca="false">'Raw Data'!D22</f>
        <v>5956</v>
      </c>
      <c r="C20" s="32" t="n">
        <f aca="false">'Raw Data'!E22</f>
        <v>1084</v>
      </c>
      <c r="D20" s="32" t="n">
        <f aca="false">'Raw Data'!F22</f>
        <v>527</v>
      </c>
      <c r="E20" s="32" t="n">
        <f aca="false">'Raw Data'!G22+'Raw Data'!H22</f>
        <v>3338</v>
      </c>
      <c r="F20" s="32" t="n">
        <f aca="false">'Raw Data'!I22</f>
        <v>1409</v>
      </c>
      <c r="G20" s="32" t="n">
        <f aca="false">'Raw Data'!J22</f>
        <v>6098</v>
      </c>
      <c r="H20" s="32" t="n">
        <f aca="false">'Raw Data'!K22</f>
        <v>2158</v>
      </c>
      <c r="I20" s="33" t="n">
        <f aca="false">F20/E20</f>
        <v>0.422109047333733</v>
      </c>
      <c r="J20" s="34" t="n">
        <f aca="false">D20/E20</f>
        <v>0.15787896944278</v>
      </c>
      <c r="K20" s="34" t="n">
        <f aca="false">D20/G20</f>
        <v>0.0864217776320105</v>
      </c>
      <c r="L20" s="35" t="n">
        <f aca="false">LN(G20)</f>
        <v>8.7157161275482</v>
      </c>
      <c r="M20" s="34" t="n">
        <f aca="false">(B20-'Raw Data'!D21)/'Raw Data'!D21</f>
        <v>0.118707738542449</v>
      </c>
      <c r="N20" s="34" t="n">
        <f aca="false">H20/G20</f>
        <v>0.353886520170548</v>
      </c>
      <c r="O20" s="33" t="n">
        <f aca="false">'Raw Data'!L22</f>
        <v>5.24</v>
      </c>
      <c r="P20" s="33" t="n">
        <f aca="false">'Raw Data'!M22/'Raw Data'!N22</f>
        <v>1.87259259259259</v>
      </c>
    </row>
    <row r="21" customFormat="false" ht="15" hidden="false" customHeight="true" outlineLevel="0" collapsed="false">
      <c r="A21" s="18" t="s">
        <v>105</v>
      </c>
      <c r="B21" s="28" t="n">
        <f aca="false">'Raw Data'!D23</f>
        <v>6703</v>
      </c>
      <c r="C21" s="28" t="n">
        <f aca="false">'Raw Data'!E23</f>
        <v>893</v>
      </c>
      <c r="D21" s="28" t="n">
        <f aca="false">'Raw Data'!F23</f>
        <v>392</v>
      </c>
      <c r="E21" s="28" t="n">
        <f aca="false">'Raw Data'!G23+'Raw Data'!H23</f>
        <v>3475</v>
      </c>
      <c r="F21" s="28" t="n">
        <f aca="false">'Raw Data'!I23</f>
        <v>1318</v>
      </c>
      <c r="G21" s="28" t="n">
        <f aca="false">'Raw Data'!J23</f>
        <v>6191</v>
      </c>
      <c r="H21" s="28" t="n">
        <f aca="false">'Raw Data'!K23</f>
        <v>2025</v>
      </c>
      <c r="I21" s="29" t="n">
        <f aca="false">F21/E21</f>
        <v>0.379280575539568</v>
      </c>
      <c r="J21" s="30" t="n">
        <f aca="false">D21/E21</f>
        <v>0.112805755395683</v>
      </c>
      <c r="K21" s="30" t="n">
        <f aca="false">D21/G21</f>
        <v>0.0633177192699079</v>
      </c>
      <c r="L21" s="31" t="n">
        <f aca="false">LN(G21)</f>
        <v>8.73085190351923</v>
      </c>
      <c r="M21" s="30" t="n">
        <f aca="false">(B21-'Raw Data'!D22)/'Raw Data'!D22</f>
        <v>0.125419744795165</v>
      </c>
      <c r="N21" s="30" t="n">
        <f aca="false">H21/G21</f>
        <v>0.327087707963172</v>
      </c>
      <c r="O21" s="29" t="n">
        <f aca="false">'Raw Data'!L23</f>
        <v>3.9</v>
      </c>
      <c r="P21" s="29" t="n">
        <f aca="false">'Raw Data'!M23/'Raw Data'!N23</f>
        <v>1.62374821173104</v>
      </c>
    </row>
    <row r="22" customFormat="false" ht="15" hidden="false" customHeight="true" outlineLevel="0" collapsed="false">
      <c r="A22" s="21" t="s">
        <v>106</v>
      </c>
      <c r="B22" s="32" t="n">
        <f aca="false">'Raw Data'!D24</f>
        <v>6298</v>
      </c>
      <c r="C22" s="32" t="n">
        <f aca="false">'Raw Data'!E24</f>
        <v>456</v>
      </c>
      <c r="D22" s="32" t="n">
        <f aca="false">'Raw Data'!F24</f>
        <v>123</v>
      </c>
      <c r="E22" s="32" t="n">
        <f aca="false">'Raw Data'!G24+'Raw Data'!H24</f>
        <v>3408</v>
      </c>
      <c r="F22" s="32" t="n">
        <f aca="false">'Raw Data'!I24</f>
        <v>1767</v>
      </c>
      <c r="G22" s="32" t="n">
        <f aca="false">'Raw Data'!J24</f>
        <v>6880</v>
      </c>
      <c r="H22" s="32" t="n">
        <f aca="false">'Raw Data'!K24</f>
        <v>2938</v>
      </c>
      <c r="I22" s="33" t="n">
        <f aca="false">F22/E22</f>
        <v>0.518485915492958</v>
      </c>
      <c r="J22" s="34" t="n">
        <f aca="false">D22/E22</f>
        <v>0.0360915492957747</v>
      </c>
      <c r="K22" s="34" t="n">
        <f aca="false">D22/G22</f>
        <v>0.0178779069767442</v>
      </c>
      <c r="L22" s="35" t="n">
        <f aca="false">LN(G22)</f>
        <v>8.83637393092739</v>
      </c>
      <c r="M22" s="34" t="n">
        <f aca="false">(B22-'Raw Data'!D23)/'Raw Data'!D23</f>
        <v>-0.060420707146054</v>
      </c>
      <c r="N22" s="34" t="n">
        <f aca="false">H22/G22</f>
        <v>0.42703488372093</v>
      </c>
      <c r="O22" s="33" t="n">
        <f aca="false">'Raw Data'!L24</f>
        <v>1.22</v>
      </c>
      <c r="P22" s="33" t="n">
        <f aca="false">'Raw Data'!M24/'Raw Data'!N24</f>
        <v>1.54721407624633</v>
      </c>
    </row>
    <row r="23" customFormat="false" ht="15" hidden="false" customHeight="true" outlineLevel="0" collapsed="false">
      <c r="A23" s="18" t="s">
        <v>107</v>
      </c>
      <c r="B23" s="28" t="n">
        <f aca="false">'Raw Data'!D25</f>
        <v>8085</v>
      </c>
      <c r="C23" s="28" t="n">
        <f aca="false">'Raw Data'!E25</f>
        <v>1012</v>
      </c>
      <c r="D23" s="28" t="n">
        <f aca="false">'Raw Data'!F25</f>
        <v>596</v>
      </c>
      <c r="E23" s="28" t="n">
        <f aca="false">'Raw Data'!G25+'Raw Data'!H25</f>
        <v>3741</v>
      </c>
      <c r="F23" s="28" t="n">
        <f aca="false">'Raw Data'!I25</f>
        <v>1965</v>
      </c>
      <c r="G23" s="28" t="n">
        <f aca="false">'Raw Data'!J25</f>
        <v>7515</v>
      </c>
      <c r="H23" s="28" t="n">
        <f aca="false">'Raw Data'!K25</f>
        <v>2879</v>
      </c>
      <c r="I23" s="29" t="n">
        <f aca="false">F23/E23</f>
        <v>0.525260625501203</v>
      </c>
      <c r="J23" s="30" t="n">
        <f aca="false">D23/E23</f>
        <v>0.159315690991713</v>
      </c>
      <c r="K23" s="30" t="n">
        <f aca="false">D23/G23</f>
        <v>0.0793080505655356</v>
      </c>
      <c r="L23" s="31" t="n">
        <f aca="false">LN(G23)</f>
        <v>8.92465630218707</v>
      </c>
      <c r="M23" s="30" t="n">
        <f aca="false">(B23-'Raw Data'!D24)/'Raw Data'!D24</f>
        <v>0.283740870117498</v>
      </c>
      <c r="N23" s="30" t="n">
        <f aca="false">H23/G23</f>
        <v>0.383100465735196</v>
      </c>
      <c r="O23" s="29" t="n">
        <f aca="false">'Raw Data'!L25</f>
        <v>6.13</v>
      </c>
      <c r="P23" s="29" t="n">
        <f aca="false">'Raw Data'!M25/'Raw Data'!N25</f>
        <v>1.69558011049724</v>
      </c>
    </row>
    <row r="24" customFormat="false" ht="15" hidden="false" customHeight="true" outlineLevel="0" collapsed="false">
      <c r="A24" s="21" t="s">
        <v>108</v>
      </c>
      <c r="B24" s="32" t="n">
        <f aca="false">'Raw Data'!D26</f>
        <v>8622</v>
      </c>
      <c r="C24" s="32" t="n">
        <f aca="false">'Raw Data'!E26</f>
        <v>907</v>
      </c>
      <c r="D24" s="32" t="n">
        <f aca="false">'Raw Data'!F26</f>
        <v>507</v>
      </c>
      <c r="E24" s="32" t="n">
        <f aca="false">'Raw Data'!G26+'Raw Data'!H26</f>
        <v>3905</v>
      </c>
      <c r="F24" s="32" t="n">
        <f aca="false">'Raw Data'!I26</f>
        <v>1678</v>
      </c>
      <c r="G24" s="32" t="n">
        <f aca="false">'Raw Data'!J26</f>
        <v>7508</v>
      </c>
      <c r="H24" s="32" t="n">
        <f aca="false">'Raw Data'!K26</f>
        <v>2933</v>
      </c>
      <c r="I24" s="33" t="n">
        <f aca="false">F24/E24</f>
        <v>0.429705505761844</v>
      </c>
      <c r="J24" s="34" t="n">
        <f aca="false">D24/E24</f>
        <v>0.129833546734955</v>
      </c>
      <c r="K24" s="34" t="n">
        <f aca="false">D24/G24</f>
        <v>0.0675279701651572</v>
      </c>
      <c r="L24" s="35" t="n">
        <f aca="false">LN(G24)</f>
        <v>8.9237243977064</v>
      </c>
      <c r="M24" s="34" t="n">
        <f aca="false">(B24-'Raw Data'!D25)/'Raw Data'!D25</f>
        <v>0.0664192949907236</v>
      </c>
      <c r="N24" s="34" t="n">
        <f aca="false">H24/G24</f>
        <v>0.390649973361747</v>
      </c>
      <c r="O24" s="33" t="n">
        <f aca="false">'Raw Data'!L26</f>
        <v>5.28</v>
      </c>
      <c r="P24" s="33" t="n">
        <f aca="false">'Raw Data'!M26/'Raw Data'!N26</f>
        <v>1.7038961038961</v>
      </c>
    </row>
    <row r="25" customFormat="false" ht="15" hidden="false" customHeight="true" outlineLevel="0" collapsed="false">
      <c r="A25" s="36" t="s">
        <v>109</v>
      </c>
      <c r="B25" s="37" t="n">
        <f aca="false">AVERAGE(B15:B24)</f>
        <v>6188.4</v>
      </c>
      <c r="C25" s="37" t="n">
        <f aca="false">AVERAGE(C15:C24)</f>
        <v>969.5</v>
      </c>
      <c r="D25" s="37" t="n">
        <f aca="false">AVERAGE(D15:D24)</f>
        <v>402.1</v>
      </c>
      <c r="E25" s="37" t="n">
        <f aca="false">AVERAGE(E15:E24)</f>
        <v>2969.2</v>
      </c>
      <c r="F25" s="37" t="n">
        <f aca="false">AVERAGE(F15:F24)</f>
        <v>2094.7</v>
      </c>
      <c r="G25" s="37" t="n">
        <f aca="false">AVERAGE(G15:G24)</f>
        <v>6453.5</v>
      </c>
      <c r="H25" s="37" t="n">
        <f aca="false">AVERAGE(H15:H24)</f>
        <v>2670.5</v>
      </c>
      <c r="I25" s="38" t="n">
        <f aca="false">AVERAGE(I15:I24)</f>
        <v>0.780918419080599</v>
      </c>
      <c r="J25" s="39" t="n">
        <f aca="false">AVERAGE(J15:J24)</f>
        <v>0.142806500961306</v>
      </c>
      <c r="K25" s="39" t="n">
        <f aca="false">AVERAGE(K15:K24)</f>
        <v>0.0632118651589881</v>
      </c>
      <c r="L25" s="40" t="n">
        <f aca="false">AVERAGE(L15:L24)</f>
        <v>8.76767085459089</v>
      </c>
      <c r="M25" s="39" t="n">
        <f aca="false">AVERAGE(M15:M24)</f>
        <v>0.0754402558679562</v>
      </c>
      <c r="N25" s="39" t="n">
        <f aca="false">AVERAGE(N15:N24)</f>
        <v>0.416139983035701</v>
      </c>
      <c r="O25" s="38" t="n">
        <f aca="false">AVERAGE(O15:O24)</f>
        <v>4.044</v>
      </c>
      <c r="P25" s="38" t="n">
        <f aca="false">AVERAGE(P15:P24)</f>
        <v>1.876560758676</v>
      </c>
    </row>
    <row r="27" customFormat="false" ht="15" hidden="false" customHeight="true" outlineLevel="0" collapsed="false">
      <c r="A27" s="41" t="s">
        <v>110</v>
      </c>
      <c r="I27" s="42" t="n">
        <f aca="false">STDEV(I15:I24)</f>
        <v>0.373435859407386</v>
      </c>
      <c r="J27" s="43" t="n">
        <f aca="false">STDEV(J15:J24)</f>
        <v>0.0821267573596867</v>
      </c>
      <c r="K27" s="43" t="n">
        <f aca="false">STDEV(K15:K24)</f>
        <v>0.0305873097497172</v>
      </c>
      <c r="O27" s="42" t="n">
        <f aca="false">STDEV(O15:O24)</f>
        <v>1.84146197957553</v>
      </c>
      <c r="P27" s="42" t="n">
        <f aca="false">STDEV(P15:P24)</f>
        <v>0.244829027727191</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63</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118</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119</v>
      </c>
      <c r="C5" s="26"/>
      <c r="D5" s="26"/>
      <c r="E5" s="26"/>
      <c r="F5" s="26"/>
    </row>
    <row r="6" customFormat="false" ht="18" hidden="false" customHeight="true" outlineLevel="0" collapsed="false">
      <c r="A6" s="25" t="s">
        <v>75</v>
      </c>
      <c r="B6" s="26" t="s">
        <v>120</v>
      </c>
      <c r="C6" s="26"/>
      <c r="D6" s="26"/>
      <c r="E6" s="26"/>
      <c r="F6" s="26"/>
    </row>
    <row r="7" customFormat="false" ht="18" hidden="false" customHeight="true" outlineLevel="0" collapsed="false">
      <c r="A7" s="25" t="s">
        <v>77</v>
      </c>
      <c r="B7" s="26" t="s">
        <v>114</v>
      </c>
      <c r="C7" s="26"/>
      <c r="D7" s="26"/>
      <c r="E7" s="26"/>
      <c r="F7" s="26"/>
    </row>
    <row r="8" customFormat="false" ht="18" hidden="false" customHeight="true" outlineLevel="0" collapsed="false">
      <c r="A8" s="25" t="s">
        <v>79</v>
      </c>
      <c r="B8" s="26" t="s">
        <v>121</v>
      </c>
      <c r="C8" s="26"/>
      <c r="D8" s="26"/>
      <c r="E8" s="26"/>
      <c r="F8" s="26"/>
    </row>
    <row r="9" customFormat="false" ht="18" hidden="false" customHeight="true" outlineLevel="0" collapsed="false">
      <c r="A9" s="25" t="s">
        <v>81</v>
      </c>
      <c r="B9" s="26" t="s">
        <v>122</v>
      </c>
      <c r="C9" s="26"/>
      <c r="D9" s="26"/>
      <c r="E9" s="26"/>
      <c r="F9" s="26"/>
    </row>
    <row r="10" customFormat="false" ht="18" hidden="false" customHeight="true" outlineLevel="0" collapsed="false">
      <c r="A10" s="25" t="s">
        <v>83</v>
      </c>
      <c r="B10" s="26" t="s">
        <v>123</v>
      </c>
      <c r="C10" s="26"/>
      <c r="D10" s="26"/>
      <c r="E10" s="26"/>
      <c r="F10" s="26"/>
    </row>
    <row r="11" customFormat="false" ht="18" hidden="false" customHeight="true" outlineLevel="0" collapsed="false">
      <c r="A11" s="25" t="s">
        <v>85</v>
      </c>
      <c r="B11" s="26" t="s">
        <v>86</v>
      </c>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Data'!D28</f>
        <v>2001</v>
      </c>
      <c r="C15" s="28" t="n">
        <f aca="false">'Raw Data'!E28</f>
        <v>396</v>
      </c>
      <c r="D15" s="28" t="n">
        <f aca="false">'Raw Data'!F28</f>
        <v>238</v>
      </c>
      <c r="E15" s="28" t="n">
        <f aca="false">'Raw Data'!G28+'Raw Data'!H28</f>
        <v>613</v>
      </c>
      <c r="F15" s="28" t="n">
        <f aca="false">'Raw Data'!I28</f>
        <v>340</v>
      </c>
      <c r="G15" s="28" t="n">
        <f aca="false">'Raw Data'!J28</f>
        <v>1283</v>
      </c>
      <c r="H15" s="28" t="n">
        <f aca="false">'Raw Data'!K28</f>
        <v>466</v>
      </c>
      <c r="I15" s="29" t="n">
        <f aca="false">F15/E15</f>
        <v>0.554649265905383</v>
      </c>
      <c r="J15" s="30" t="n">
        <f aca="false">D15/E15</f>
        <v>0.388254486133768</v>
      </c>
      <c r="K15" s="30" t="n">
        <f aca="false">D15/G15</f>
        <v>0.185502727981294</v>
      </c>
      <c r="L15" s="31" t="n">
        <f aca="false">LN(G15)</f>
        <v>7.15695636461564</v>
      </c>
      <c r="M15" s="30" t="n">
        <f aca="false">(B15-'Raw Data'!D27)/'Raw Data'!D27</f>
        <v>0.238242574257426</v>
      </c>
      <c r="N15" s="30" t="n">
        <f aca="false">H15/G15</f>
        <v>0.363211223694466</v>
      </c>
      <c r="O15" s="29" t="n">
        <f aca="false">'Raw Data'!L28</f>
        <v>12.04</v>
      </c>
      <c r="P15" s="29" t="n">
        <f aca="false">'Raw Data'!M28/'Raw Data'!N28</f>
        <v>2.42553191489362</v>
      </c>
    </row>
    <row r="16" customFormat="false" ht="15" hidden="false" customHeight="true" outlineLevel="0" collapsed="false">
      <c r="A16" s="21" t="s">
        <v>100</v>
      </c>
      <c r="B16" s="32" t="n">
        <f aca="false">'Raw Data'!D29</f>
        <v>1990</v>
      </c>
      <c r="C16" s="32" t="n">
        <f aca="false">'Raw Data'!E29</f>
        <v>325</v>
      </c>
      <c r="D16" s="32" t="n">
        <f aca="false">'Raw Data'!F29</f>
        <v>228</v>
      </c>
      <c r="E16" s="32" t="n">
        <f aca="false">'Raw Data'!G29+'Raw Data'!H29</f>
        <v>826</v>
      </c>
      <c r="F16" s="32" t="n">
        <f aca="false">'Raw Data'!I29</f>
        <v>267</v>
      </c>
      <c r="G16" s="32" t="n">
        <f aca="false">'Raw Data'!J29</f>
        <v>1440</v>
      </c>
      <c r="H16" s="32" t="n">
        <f aca="false">'Raw Data'!K29</f>
        <v>511</v>
      </c>
      <c r="I16" s="33" t="n">
        <f aca="false">F16/E16</f>
        <v>0.323244552058111</v>
      </c>
      <c r="J16" s="34" t="n">
        <f aca="false">D16/E16</f>
        <v>0.276029055690073</v>
      </c>
      <c r="K16" s="34" t="n">
        <f aca="false">D16/G16</f>
        <v>0.158333333333333</v>
      </c>
      <c r="L16" s="35" t="n">
        <f aca="false">LN(G16)</f>
        <v>7.27239839257005</v>
      </c>
      <c r="M16" s="34" t="n">
        <f aca="false">(B16-'Raw Data'!D28)/'Raw Data'!D28</f>
        <v>-0.00549725137431284</v>
      </c>
      <c r="N16" s="34" t="n">
        <f aca="false">H16/G16</f>
        <v>0.354861111111111</v>
      </c>
      <c r="O16" s="33" t="n">
        <f aca="false">'Raw Data'!L29</f>
        <v>11.55</v>
      </c>
      <c r="P16" s="33" t="n">
        <f aca="false">'Raw Data'!M29/'Raw Data'!N29</f>
        <v>2.6271676300578</v>
      </c>
    </row>
    <row r="17" customFormat="false" ht="15" hidden="false" customHeight="true" outlineLevel="0" collapsed="false">
      <c r="A17" s="18" t="s">
        <v>101</v>
      </c>
      <c r="B17" s="28" t="n">
        <f aca="false">'Raw Data'!D30</f>
        <v>1709</v>
      </c>
      <c r="C17" s="28" t="n">
        <f aca="false">'Raw Data'!E30</f>
        <v>167</v>
      </c>
      <c r="D17" s="28" t="n">
        <f aca="false">'Raw Data'!F30</f>
        <v>131</v>
      </c>
      <c r="E17" s="28" t="n">
        <f aca="false">'Raw Data'!G30+'Raw Data'!H30</f>
        <v>938</v>
      </c>
      <c r="F17" s="28" t="n">
        <f aca="false">'Raw Data'!I30</f>
        <v>371</v>
      </c>
      <c r="G17" s="28" t="n">
        <f aca="false">'Raw Data'!J30</f>
        <v>1644</v>
      </c>
      <c r="H17" s="28" t="n">
        <f aca="false">'Raw Data'!K30</f>
        <v>535</v>
      </c>
      <c r="I17" s="29" t="n">
        <f aca="false">F17/E17</f>
        <v>0.395522388059701</v>
      </c>
      <c r="J17" s="30" t="n">
        <f aca="false">D17/E17</f>
        <v>0.139658848614073</v>
      </c>
      <c r="K17" s="30" t="n">
        <f aca="false">D17/G17</f>
        <v>0.079683698296837</v>
      </c>
      <c r="L17" s="31" t="n">
        <f aca="false">LN(G17)</f>
        <v>7.40488757561613</v>
      </c>
      <c r="M17" s="30" t="n">
        <f aca="false">(B17-'Raw Data'!D29)/'Raw Data'!D29</f>
        <v>-0.141206030150754</v>
      </c>
      <c r="N17" s="30" t="n">
        <f aca="false">H17/G17</f>
        <v>0.325425790754258</v>
      </c>
      <c r="O17" s="29" t="n">
        <f aca="false">'Raw Data'!L30</f>
        <v>6.64</v>
      </c>
      <c r="P17" s="29" t="n">
        <f aca="false">'Raw Data'!M30/'Raw Data'!N30</f>
        <v>3.25373134328358</v>
      </c>
    </row>
    <row r="18" customFormat="false" ht="15" hidden="false" customHeight="true" outlineLevel="0" collapsed="false">
      <c r="A18" s="21" t="s">
        <v>102</v>
      </c>
      <c r="B18" s="32" t="n">
        <f aca="false">'Raw Data'!D31</f>
        <v>1813</v>
      </c>
      <c r="C18" s="32" t="n">
        <f aca="false">'Raw Data'!E31</f>
        <v>151</v>
      </c>
      <c r="D18" s="32" t="n">
        <f aca="false">'Raw Data'!F31</f>
        <v>59</v>
      </c>
      <c r="E18" s="32" t="n">
        <f aca="false">'Raw Data'!G31+'Raw Data'!H31</f>
        <v>960</v>
      </c>
      <c r="F18" s="32" t="n">
        <f aca="false">'Raw Data'!I31</f>
        <v>309</v>
      </c>
      <c r="G18" s="32" t="n">
        <f aca="false">'Raw Data'!J31</f>
        <v>1552</v>
      </c>
      <c r="H18" s="32" t="n">
        <f aca="false">'Raw Data'!K31</f>
        <v>560</v>
      </c>
      <c r="I18" s="33" t="n">
        <f aca="false">F18/E18</f>
        <v>0.321875</v>
      </c>
      <c r="J18" s="34" t="n">
        <f aca="false">D18/E18</f>
        <v>0.0614583333333333</v>
      </c>
      <c r="K18" s="34" t="n">
        <f aca="false">D18/G18</f>
        <v>0.0380154639175258</v>
      </c>
      <c r="L18" s="35" t="n">
        <f aca="false">LN(G18)</f>
        <v>7.34729970074316</v>
      </c>
      <c r="M18" s="34" t="n">
        <f aca="false">(B18-'Raw Data'!D30)/'Raw Data'!D30</f>
        <v>0.0608543007606788</v>
      </c>
      <c r="N18" s="34" t="n">
        <f aca="false">H18/G18</f>
        <v>0.360824742268041</v>
      </c>
      <c r="O18" s="33" t="n">
        <f aca="false">'Raw Data'!L31</f>
        <v>3</v>
      </c>
      <c r="P18" s="33" t="n">
        <f aca="false">'Raw Data'!M31/'Raw Data'!N31</f>
        <v>3.25088339222615</v>
      </c>
    </row>
    <row r="19" customFormat="false" ht="15" hidden="false" customHeight="true" outlineLevel="0" collapsed="false">
      <c r="A19" s="18" t="s">
        <v>103</v>
      </c>
      <c r="B19" s="28" t="n">
        <f aca="false">'Raw Data'!D32</f>
        <v>1965</v>
      </c>
      <c r="C19" s="28" t="n">
        <f aca="false">'Raw Data'!E32</f>
        <v>178</v>
      </c>
      <c r="D19" s="28" t="n">
        <f aca="false">'Raw Data'!F32</f>
        <v>74</v>
      </c>
      <c r="E19" s="28" t="n">
        <f aca="false">'Raw Data'!G32+'Raw Data'!H32</f>
        <v>972</v>
      </c>
      <c r="F19" s="28" t="n">
        <f aca="false">'Raw Data'!I32</f>
        <v>348</v>
      </c>
      <c r="G19" s="28" t="n">
        <f aca="false">'Raw Data'!J32</f>
        <v>1659</v>
      </c>
      <c r="H19" s="28" t="n">
        <f aca="false">'Raw Data'!K32</f>
        <v>553</v>
      </c>
      <c r="I19" s="29" t="n">
        <f aca="false">F19/E19</f>
        <v>0.358024691358025</v>
      </c>
      <c r="J19" s="30" t="n">
        <f aca="false">D19/E19</f>
        <v>0.0761316872427984</v>
      </c>
      <c r="K19" s="30" t="n">
        <f aca="false">D19/G19</f>
        <v>0.0446051838456902</v>
      </c>
      <c r="L19" s="31" t="n">
        <f aca="false">LN(G19)</f>
        <v>7.41397029019044</v>
      </c>
      <c r="M19" s="30" t="n">
        <f aca="false">(B19-'Raw Data'!D31)/'Raw Data'!D31</f>
        <v>0.0838389409817981</v>
      </c>
      <c r="N19" s="30" t="n">
        <f aca="false">H19/G19</f>
        <v>0.333333333333333</v>
      </c>
      <c r="O19" s="29" t="n">
        <f aca="false">'Raw Data'!L32</f>
        <v>3.74</v>
      </c>
      <c r="P19" s="29" t="n">
        <f aca="false">'Raw Data'!M32/'Raw Data'!N32</f>
        <v>3.19822485207101</v>
      </c>
    </row>
    <row r="20" customFormat="false" ht="15" hidden="false" customHeight="true" outlineLevel="0" collapsed="false">
      <c r="A20" s="21" t="s">
        <v>104</v>
      </c>
      <c r="B20" s="32" t="n">
        <f aca="false">'Raw Data'!D33</f>
        <v>2515</v>
      </c>
      <c r="C20" s="32" t="n">
        <f aca="false">'Raw Data'!E33</f>
        <v>384</v>
      </c>
      <c r="D20" s="32" t="n">
        <f aca="false">'Raw Data'!F33</f>
        <v>260</v>
      </c>
      <c r="E20" s="32" t="n">
        <f aca="false">'Raw Data'!G33+'Raw Data'!H33</f>
        <v>1274</v>
      </c>
      <c r="F20" s="32" t="n">
        <f aca="false">'Raw Data'!I33</f>
        <v>546</v>
      </c>
      <c r="G20" s="32" t="n">
        <f aca="false">'Raw Data'!J33</f>
        <v>2247</v>
      </c>
      <c r="H20" s="32" t="n">
        <f aca="false">'Raw Data'!K33</f>
        <v>543</v>
      </c>
      <c r="I20" s="33" t="n">
        <f aca="false">F20/E20</f>
        <v>0.428571428571429</v>
      </c>
      <c r="J20" s="34" t="n">
        <f aca="false">D20/E20</f>
        <v>0.204081632653061</v>
      </c>
      <c r="K20" s="34" t="n">
        <f aca="false">D20/G20</f>
        <v>0.115709835336004</v>
      </c>
      <c r="L20" s="35" t="n">
        <f aca="false">LN(G20)</f>
        <v>7.71735127218533</v>
      </c>
      <c r="M20" s="34" t="n">
        <f aca="false">(B20-'Raw Data'!D32)/'Raw Data'!D32</f>
        <v>0.279898218829517</v>
      </c>
      <c r="N20" s="34" t="n">
        <f aca="false">H20/G20</f>
        <v>0.241655540720961</v>
      </c>
      <c r="O20" s="33" t="n">
        <f aca="false">'Raw Data'!L33</f>
        <v>13.18</v>
      </c>
      <c r="P20" s="33" t="n">
        <f aca="false">'Raw Data'!M33/'Raw Data'!N33</f>
        <v>3.54929577464789</v>
      </c>
    </row>
    <row r="21" customFormat="false" ht="15" hidden="false" customHeight="true" outlineLevel="0" collapsed="false">
      <c r="A21" s="18" t="s">
        <v>105</v>
      </c>
      <c r="B21" s="28" t="n">
        <f aca="false">'Raw Data'!D34</f>
        <v>2806</v>
      </c>
      <c r="C21" s="28" t="n">
        <f aca="false">'Raw Data'!E34</f>
        <v>402</v>
      </c>
      <c r="D21" s="28" t="n">
        <f aca="false">'Raw Data'!F34</f>
        <v>339</v>
      </c>
      <c r="E21" s="28" t="n">
        <f aca="false">'Raw Data'!G34+'Raw Data'!H34</f>
        <v>1576</v>
      </c>
      <c r="F21" s="28" t="n">
        <f aca="false">'Raw Data'!I34</f>
        <v>1214</v>
      </c>
      <c r="G21" s="28" t="n">
        <f aca="false">'Raw Data'!J34</f>
        <v>3090</v>
      </c>
      <c r="H21" s="28" t="n">
        <f aca="false">'Raw Data'!K34</f>
        <v>650</v>
      </c>
      <c r="I21" s="29" t="n">
        <f aca="false">F21/E21</f>
        <v>0.770304568527919</v>
      </c>
      <c r="J21" s="30" t="n">
        <f aca="false">D21/E21</f>
        <v>0.21510152284264</v>
      </c>
      <c r="K21" s="30" t="n">
        <f aca="false">D21/G21</f>
        <v>0.109708737864078</v>
      </c>
      <c r="L21" s="31" t="n">
        <f aca="false">LN(G21)</f>
        <v>8.03592636989179</v>
      </c>
      <c r="M21" s="30" t="n">
        <f aca="false">(B21-'Raw Data'!D33)/'Raw Data'!D33</f>
        <v>0.115705765407555</v>
      </c>
      <c r="N21" s="30" t="n">
        <f aca="false">H21/G21</f>
        <v>0.210355987055016</v>
      </c>
      <c r="O21" s="29" t="n">
        <f aca="false">'Raw Data'!L34</f>
        <v>17.16</v>
      </c>
      <c r="P21" s="29" t="n">
        <f aca="false">'Raw Data'!M34/'Raw Data'!N34</f>
        <v>8.09333333333333</v>
      </c>
    </row>
    <row r="22" customFormat="false" ht="15" hidden="false" customHeight="true" outlineLevel="0" collapsed="false">
      <c r="A22" s="21" t="s">
        <v>106</v>
      </c>
      <c r="B22" s="32" t="n">
        <f aca="false">'Raw Data'!D35</f>
        <v>2784</v>
      </c>
      <c r="C22" s="32" t="n">
        <f aca="false">'Raw Data'!E35</f>
        <v>411</v>
      </c>
      <c r="D22" s="32" t="n">
        <f aca="false">'Raw Data'!F35</f>
        <v>238</v>
      </c>
      <c r="E22" s="32" t="n">
        <f aca="false">'Raw Data'!G35+'Raw Data'!H35</f>
        <v>1765</v>
      </c>
      <c r="F22" s="32" t="n">
        <f aca="false">'Raw Data'!I35</f>
        <v>853</v>
      </c>
      <c r="G22" s="32" t="n">
        <f aca="false">'Raw Data'!J35</f>
        <v>2983</v>
      </c>
      <c r="H22" s="32" t="n">
        <f aca="false">'Raw Data'!K35</f>
        <v>1243</v>
      </c>
      <c r="I22" s="33" t="n">
        <f aca="false">F22/E22</f>
        <v>0.48328611898017</v>
      </c>
      <c r="J22" s="34" t="n">
        <f aca="false">D22/E22</f>
        <v>0.134844192634561</v>
      </c>
      <c r="K22" s="34" t="n">
        <f aca="false">D22/G22</f>
        <v>0.0797854508883674</v>
      </c>
      <c r="L22" s="35" t="n">
        <f aca="false">LN(G22)</f>
        <v>8.00068478451475</v>
      </c>
      <c r="M22" s="34" t="n">
        <f aca="false">(B22-'Raw Data'!D34)/'Raw Data'!D34</f>
        <v>-0.00784034212401996</v>
      </c>
      <c r="N22" s="34" t="n">
        <f aca="false">H22/G22</f>
        <v>0.416694602748911</v>
      </c>
      <c r="O22" s="33" t="n">
        <f aca="false">'Raw Data'!L35</f>
        <v>12.03</v>
      </c>
      <c r="P22" s="33" t="n">
        <f aca="false">'Raw Data'!M35/'Raw Data'!N35</f>
        <v>4.34246575342466</v>
      </c>
    </row>
    <row r="23" customFormat="false" ht="15" hidden="false" customHeight="true" outlineLevel="0" collapsed="false">
      <c r="A23" s="18" t="s">
        <v>107</v>
      </c>
      <c r="B23" s="28" t="n">
        <f aca="false">'Raw Data'!D36</f>
        <v>3332</v>
      </c>
      <c r="C23" s="28" t="n">
        <f aca="false">'Raw Data'!E36</f>
        <v>526</v>
      </c>
      <c r="D23" s="28" t="n">
        <f aca="false">'Raw Data'!F36</f>
        <v>320</v>
      </c>
      <c r="E23" s="28" t="n">
        <f aca="false">'Raw Data'!G36+'Raw Data'!H36</f>
        <v>2048</v>
      </c>
      <c r="F23" s="28" t="n">
        <f aca="false">'Raw Data'!I36</f>
        <v>936</v>
      </c>
      <c r="G23" s="28" t="n">
        <f aca="false">'Raw Data'!J36</f>
        <v>3493</v>
      </c>
      <c r="H23" s="28" t="n">
        <f aca="false">'Raw Data'!K36</f>
        <v>1344</v>
      </c>
      <c r="I23" s="29" t="n">
        <f aca="false">F23/E23</f>
        <v>0.45703125</v>
      </c>
      <c r="J23" s="30" t="n">
        <f aca="false">D23/E23</f>
        <v>0.15625</v>
      </c>
      <c r="K23" s="30" t="n">
        <f aca="false">D23/G23</f>
        <v>0.0916117950186087</v>
      </c>
      <c r="L23" s="31" t="n">
        <f aca="false">LN(G23)</f>
        <v>8.15851624480683</v>
      </c>
      <c r="M23" s="30" t="n">
        <f aca="false">(B23-'Raw Data'!D35)/'Raw Data'!D35</f>
        <v>0.19683908045977</v>
      </c>
      <c r="N23" s="30" t="n">
        <f aca="false">H23/G23</f>
        <v>0.384769539078156</v>
      </c>
      <c r="O23" s="29" t="n">
        <f aca="false">'Raw Data'!L36</f>
        <v>16.17</v>
      </c>
      <c r="P23" s="29" t="n">
        <f aca="false">'Raw Data'!M36/'Raw Data'!N36</f>
        <v>3.93529411764706</v>
      </c>
    </row>
    <row r="24" customFormat="false" ht="15" hidden="false" customHeight="true" outlineLevel="0" collapsed="false">
      <c r="A24" s="21" t="s">
        <v>108</v>
      </c>
      <c r="B24" s="32" t="n">
        <f aca="false">'Raw Data'!D37</f>
        <v>3772</v>
      </c>
      <c r="C24" s="32" t="n">
        <f aca="false">'Raw Data'!E37</f>
        <v>465</v>
      </c>
      <c r="D24" s="32" t="n">
        <f aca="false">'Raw Data'!F37</f>
        <v>237</v>
      </c>
      <c r="E24" s="32" t="n">
        <f aca="false">'Raw Data'!G37+'Raw Data'!H37</f>
        <v>2237</v>
      </c>
      <c r="F24" s="32" t="n">
        <f aca="false">'Raw Data'!I37</f>
        <v>1061</v>
      </c>
      <c r="G24" s="32" t="n">
        <f aca="false">'Raw Data'!J37</f>
        <v>3695</v>
      </c>
      <c r="H24" s="32" t="n">
        <f aca="false">'Raw Data'!K37</f>
        <v>1381</v>
      </c>
      <c r="I24" s="33" t="n">
        <f aca="false">F24/E24</f>
        <v>0.474295932051855</v>
      </c>
      <c r="J24" s="34" t="n">
        <f aca="false">D24/E24</f>
        <v>0.105945462673223</v>
      </c>
      <c r="K24" s="34" t="n">
        <f aca="false">D24/G24</f>
        <v>0.0641407307171854</v>
      </c>
      <c r="L24" s="35" t="n">
        <f aca="false">LN(G24)</f>
        <v>8.2147358333823</v>
      </c>
      <c r="M24" s="34" t="n">
        <f aca="false">(B24-'Raw Data'!D36)/'Raw Data'!D36</f>
        <v>0.132052821128451</v>
      </c>
      <c r="N24" s="34" t="n">
        <f aca="false">H24/G24</f>
        <v>0.373748308525034</v>
      </c>
      <c r="O24" s="33" t="n">
        <f aca="false">'Raw Data'!L37</f>
        <v>11.98</v>
      </c>
      <c r="P24" s="33" t="n">
        <f aca="false">'Raw Data'!M37/'Raw Data'!N37</f>
        <v>5.33417085427136</v>
      </c>
    </row>
    <row r="25" customFormat="false" ht="15" hidden="false" customHeight="true" outlineLevel="0" collapsed="false">
      <c r="A25" s="36" t="s">
        <v>109</v>
      </c>
      <c r="B25" s="37" t="n">
        <f aca="false">AVERAGE(B15:B24)</f>
        <v>2468.7</v>
      </c>
      <c r="C25" s="37" t="n">
        <f aca="false">AVERAGE(C15:C24)</f>
        <v>340.5</v>
      </c>
      <c r="D25" s="37" t="n">
        <f aca="false">AVERAGE(D15:D24)</f>
        <v>212.4</v>
      </c>
      <c r="E25" s="37" t="n">
        <f aca="false">AVERAGE(E15:E24)</f>
        <v>1320.9</v>
      </c>
      <c r="F25" s="37" t="n">
        <f aca="false">AVERAGE(F15:F24)</f>
        <v>624.5</v>
      </c>
      <c r="G25" s="37" t="n">
        <f aca="false">AVERAGE(G15:G24)</f>
        <v>2308.6</v>
      </c>
      <c r="H25" s="37" t="n">
        <f aca="false">AVERAGE(H15:H24)</f>
        <v>778.6</v>
      </c>
      <c r="I25" s="38" t="n">
        <f aca="false">AVERAGE(I15:I24)</f>
        <v>0.456680519551259</v>
      </c>
      <c r="J25" s="39" t="n">
        <f aca="false">AVERAGE(J15:J24)</f>
        <v>0.175775522181753</v>
      </c>
      <c r="K25" s="39" t="n">
        <f aca="false">AVERAGE(K15:K24)</f>
        <v>0.0967096957198923</v>
      </c>
      <c r="L25" s="40" t="n">
        <f aca="false">AVERAGE(L15:L24)</f>
        <v>7.67227268285164</v>
      </c>
      <c r="M25" s="39" t="n">
        <f aca="false">AVERAGE(M15:M24)</f>
        <v>0.0952888078176109</v>
      </c>
      <c r="N25" s="39" t="n">
        <f aca="false">AVERAGE(N15:N24)</f>
        <v>0.336488017928929</v>
      </c>
      <c r="O25" s="38" t="n">
        <f aca="false">AVERAGE(O15:O24)</f>
        <v>10.749</v>
      </c>
      <c r="P25" s="38" t="n">
        <f aca="false">AVERAGE(P15:P24)</f>
        <v>4.00100989658565</v>
      </c>
    </row>
    <row r="27" customFormat="false" ht="15" hidden="false" customHeight="true" outlineLevel="0" collapsed="false">
      <c r="A27" s="41" t="s">
        <v>110</v>
      </c>
      <c r="I27" s="42" t="n">
        <f aca="false">STDEV(I15:I24)</f>
        <v>0.133006808117797</v>
      </c>
      <c r="J27" s="43" t="n">
        <f aca="false">STDEV(J15:J24)</f>
        <v>0.099320153434401</v>
      </c>
      <c r="K27" s="43" t="n">
        <f aca="false">STDEV(K15:K24)</f>
        <v>0.0471811984937725</v>
      </c>
      <c r="O27" s="42" t="n">
        <f aca="false">STDEV(O15:O24)</f>
        <v>4.80647121655332</v>
      </c>
      <c r="P27" s="42" t="n">
        <f aca="false">STDEV(P15:P24)</f>
        <v>1.66615118176059</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64</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124</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125</v>
      </c>
      <c r="C5" s="26"/>
      <c r="D5" s="26"/>
      <c r="E5" s="26"/>
      <c r="F5" s="26"/>
    </row>
    <row r="6" customFormat="false" ht="18" hidden="false" customHeight="true" outlineLevel="0" collapsed="false">
      <c r="A6" s="25" t="s">
        <v>75</v>
      </c>
      <c r="B6" s="26" t="s">
        <v>126</v>
      </c>
      <c r="C6" s="26"/>
      <c r="D6" s="26"/>
      <c r="E6" s="26"/>
      <c r="F6" s="26"/>
    </row>
    <row r="7" customFormat="false" ht="18" hidden="false" customHeight="true" outlineLevel="0" collapsed="false">
      <c r="A7" s="25" t="s">
        <v>77</v>
      </c>
      <c r="B7" s="26" t="s">
        <v>127</v>
      </c>
      <c r="C7" s="26"/>
      <c r="D7" s="26"/>
      <c r="E7" s="26"/>
      <c r="F7" s="26"/>
    </row>
    <row r="8" customFormat="false" ht="18" hidden="false" customHeight="true" outlineLevel="0" collapsed="false">
      <c r="A8" s="25" t="s">
        <v>79</v>
      </c>
      <c r="B8" s="26" t="s">
        <v>128</v>
      </c>
      <c r="C8" s="26"/>
      <c r="D8" s="26"/>
      <c r="E8" s="26"/>
      <c r="F8" s="26"/>
    </row>
    <row r="9" customFormat="false" ht="18" hidden="false" customHeight="true" outlineLevel="0" collapsed="false">
      <c r="A9" s="25" t="s">
        <v>81</v>
      </c>
      <c r="B9" s="26" t="s">
        <v>129</v>
      </c>
      <c r="C9" s="26"/>
      <c r="D9" s="26"/>
      <c r="E9" s="26"/>
      <c r="F9" s="26"/>
    </row>
    <row r="10" customFormat="false" ht="18" hidden="false" customHeight="true" outlineLevel="0" collapsed="false">
      <c r="A10" s="25" t="s">
        <v>83</v>
      </c>
      <c r="B10" s="26" t="s">
        <v>123</v>
      </c>
      <c r="C10" s="26"/>
      <c r="D10" s="26"/>
      <c r="E10" s="26"/>
      <c r="F10" s="26"/>
    </row>
    <row r="11" customFormat="false" ht="15" hidden="false" customHeight="true" outlineLevel="0" collapsed="false">
      <c r="A11" s="25" t="s">
        <v>85</v>
      </c>
      <c r="B11" s="26"/>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Data'!D39</f>
        <v>5602</v>
      </c>
      <c r="C15" s="28" t="n">
        <f aca="false">'Raw Data'!E39</f>
        <v>1108</v>
      </c>
      <c r="D15" s="28" t="n">
        <f aca="false">'Raw Data'!F39</f>
        <v>676</v>
      </c>
      <c r="E15" s="28" t="n">
        <f aca="false">'Raw Data'!G39+'Raw Data'!H39</f>
        <v>3690</v>
      </c>
      <c r="F15" s="28" t="n">
        <f aca="false">'Raw Data'!I39</f>
        <v>2596</v>
      </c>
      <c r="G15" s="28" t="n">
        <f aca="false">'Raw Data'!J39</f>
        <v>6985</v>
      </c>
      <c r="H15" s="28" t="n">
        <f aca="false">'Raw Data'!K39</f>
        <v>2585</v>
      </c>
      <c r="I15" s="29" t="n">
        <f aca="false">F15/E15</f>
        <v>0.703523035230352</v>
      </c>
      <c r="J15" s="30" t="n">
        <f aca="false">D15/E15</f>
        <v>0.18319783197832</v>
      </c>
      <c r="K15" s="30" t="n">
        <f aca="false">D15/G15</f>
        <v>0.0967788117394417</v>
      </c>
      <c r="L15" s="31" t="n">
        <f aca="false">LN(G15)</f>
        <v>8.85152027169106</v>
      </c>
      <c r="M15" s="30" t="n">
        <f aca="false">(B15-'Raw Data'!D38)/'Raw Data'!D38</f>
        <v>-0.0223385689354276</v>
      </c>
      <c r="N15" s="30" t="n">
        <f aca="false">H15/G15</f>
        <v>0.37007874015748</v>
      </c>
      <c r="O15" s="29" t="n">
        <f aca="false">'Raw Data'!L39</f>
        <v>21.25</v>
      </c>
      <c r="P15" s="29" t="n">
        <f aca="false">'Raw Data'!M39/'Raw Data'!N39</f>
        <v>4.75714285714286</v>
      </c>
    </row>
    <row r="16" customFormat="false" ht="15" hidden="false" customHeight="true" outlineLevel="0" collapsed="false">
      <c r="A16" s="21" t="s">
        <v>100</v>
      </c>
      <c r="B16" s="32" t="n">
        <f aca="false">'Raw Data'!D40</f>
        <v>5691</v>
      </c>
      <c r="C16" s="32" t="n">
        <f aca="false">'Raw Data'!E40</f>
        <v>1131</v>
      </c>
      <c r="D16" s="32" t="n">
        <f aca="false">'Raw Data'!F40</f>
        <v>1002</v>
      </c>
      <c r="E16" s="32" t="n">
        <f aca="false">'Raw Data'!G40+'Raw Data'!H40</f>
        <v>3986</v>
      </c>
      <c r="F16" s="32" t="n">
        <f aca="false">'Raw Data'!I40</f>
        <v>2198</v>
      </c>
      <c r="G16" s="32" t="n">
        <f aca="false">'Raw Data'!J40</f>
        <v>6959</v>
      </c>
      <c r="H16" s="32" t="n">
        <f aca="false">'Raw Data'!K40</f>
        <v>2507</v>
      </c>
      <c r="I16" s="33" t="n">
        <f aca="false">F16/E16</f>
        <v>0.551430005017562</v>
      </c>
      <c r="J16" s="34" t="n">
        <f aca="false">D16/E16</f>
        <v>0.25137982940291</v>
      </c>
      <c r="K16" s="34" t="n">
        <f aca="false">D16/G16</f>
        <v>0.143986204914499</v>
      </c>
      <c r="L16" s="35" t="n">
        <f aca="false">LN(G16)</f>
        <v>8.84779106484485</v>
      </c>
      <c r="M16" s="34" t="n">
        <f aca="false">(B16-'Raw Data'!D39)/'Raw Data'!D39</f>
        <v>0.0158871831488754</v>
      </c>
      <c r="N16" s="34" t="n">
        <f aca="false">H16/G16</f>
        <v>0.360252909900848</v>
      </c>
      <c r="O16" s="33" t="n">
        <f aca="false">'Raw Data'!L40</f>
        <v>34.87</v>
      </c>
      <c r="P16" s="33" t="n">
        <f aca="false">'Raw Data'!M40/'Raw Data'!N40</f>
        <v>3.62451612903226</v>
      </c>
    </row>
    <row r="17" customFormat="false" ht="15" hidden="false" customHeight="true" outlineLevel="0" collapsed="false">
      <c r="A17" s="18" t="s">
        <v>101</v>
      </c>
      <c r="B17" s="28" t="n">
        <f aca="false">'Raw Data'!D41</f>
        <v>5851</v>
      </c>
      <c r="C17" s="28" t="n">
        <f aca="false">'Raw Data'!E41</f>
        <v>859</v>
      </c>
      <c r="D17" s="28" t="n">
        <f aca="false">'Raw Data'!F41</f>
        <v>546</v>
      </c>
      <c r="E17" s="28" t="n">
        <f aca="false">'Raw Data'!G41+'Raw Data'!H41</f>
        <v>4632</v>
      </c>
      <c r="F17" s="28" t="n">
        <f aca="false">'Raw Data'!I41</f>
        <v>2282</v>
      </c>
      <c r="G17" s="28" t="n">
        <f aca="false">'Raw Data'!J41</f>
        <v>7696</v>
      </c>
      <c r="H17" s="28" t="n">
        <f aca="false">'Raw Data'!K41</f>
        <v>2612</v>
      </c>
      <c r="I17" s="29" t="n">
        <f aca="false">F17/E17</f>
        <v>0.4926597582038</v>
      </c>
      <c r="J17" s="30" t="n">
        <f aca="false">D17/E17</f>
        <v>0.117875647668394</v>
      </c>
      <c r="K17" s="30" t="n">
        <f aca="false">D17/G17</f>
        <v>0.0709459459459459</v>
      </c>
      <c r="L17" s="31" t="n">
        <f aca="false">LN(G17)</f>
        <v>8.94845599234554</v>
      </c>
      <c r="M17" s="30" t="n">
        <f aca="false">(B17-'Raw Data'!D40)/'Raw Data'!D40</f>
        <v>0.0281145668599543</v>
      </c>
      <c r="N17" s="30" t="n">
        <f aca="false">H17/G17</f>
        <v>0.339397089397089</v>
      </c>
      <c r="O17" s="29" t="n">
        <f aca="false">'Raw Data'!L41</f>
        <v>19</v>
      </c>
      <c r="P17" s="29" t="n">
        <f aca="false">'Raw Data'!M41/'Raw Data'!N41</f>
        <v>4.46547314578005</v>
      </c>
    </row>
    <row r="18" customFormat="false" ht="15" hidden="false" customHeight="true" outlineLevel="0" collapsed="false">
      <c r="A18" s="21" t="s">
        <v>102</v>
      </c>
      <c r="B18" s="32" t="n">
        <f aca="false">'Raw Data'!D42</f>
        <v>6415</v>
      </c>
      <c r="C18" s="32" t="n">
        <f aca="false">'Raw Data'!E42</f>
        <v>1132</v>
      </c>
      <c r="D18" s="32" t="n">
        <f aca="false">'Raw Data'!F42</f>
        <v>696</v>
      </c>
      <c r="E18" s="32" t="n">
        <f aca="false">'Raw Data'!G42+'Raw Data'!H42</f>
        <v>5239</v>
      </c>
      <c r="F18" s="32" t="n">
        <f aca="false">'Raw Data'!I42</f>
        <v>2238</v>
      </c>
      <c r="G18" s="32" t="n">
        <f aca="false">'Raw Data'!J42</f>
        <v>8369</v>
      </c>
      <c r="H18" s="32" t="n">
        <f aca="false">'Raw Data'!K42</f>
        <v>3333</v>
      </c>
      <c r="I18" s="33" t="n">
        <f aca="false">F18/E18</f>
        <v>0.427180759686963</v>
      </c>
      <c r="J18" s="34" t="n">
        <f aca="false">D18/E18</f>
        <v>0.13284978049246</v>
      </c>
      <c r="K18" s="34" t="n">
        <f aca="false">D18/G18</f>
        <v>0.083164057832477</v>
      </c>
      <c r="L18" s="35" t="n">
        <f aca="false">LN(G18)</f>
        <v>9.03228968203287</v>
      </c>
      <c r="M18" s="34" t="n">
        <f aca="false">(B18-'Raw Data'!D41)/'Raw Data'!D41</f>
        <v>0.0963937788412237</v>
      </c>
      <c r="N18" s="34" t="n">
        <f aca="false">H18/G18</f>
        <v>0.398255466602939</v>
      </c>
      <c r="O18" s="33" t="n">
        <f aca="false">'Raw Data'!L42</f>
        <v>24.21</v>
      </c>
      <c r="P18" s="33" t="n">
        <f aca="false">'Raw Data'!M42/'Raw Data'!N42</f>
        <v>4.42825112107623</v>
      </c>
    </row>
    <row r="19" customFormat="false" ht="15" hidden="false" customHeight="true" outlineLevel="0" collapsed="false">
      <c r="A19" s="18" t="s">
        <v>103</v>
      </c>
      <c r="B19" s="28" t="n">
        <f aca="false">'Raw Data'!D43</f>
        <v>6325</v>
      </c>
      <c r="C19" s="28" t="n">
        <f aca="false">'Raw Data'!E43</f>
        <v>883</v>
      </c>
      <c r="D19" s="28" t="n">
        <f aca="false">'Raw Data'!F43</f>
        <v>545</v>
      </c>
      <c r="E19" s="28" t="n">
        <f aca="false">'Raw Data'!G43+'Raw Data'!H43</f>
        <v>5667</v>
      </c>
      <c r="F19" s="28" t="n">
        <f aca="false">'Raw Data'!I43</f>
        <v>2197</v>
      </c>
      <c r="G19" s="28" t="n">
        <f aca="false">'Raw Data'!J43</f>
        <v>8727</v>
      </c>
      <c r="H19" s="28" t="n">
        <f aca="false">'Raw Data'!K43</f>
        <v>3620</v>
      </c>
      <c r="I19" s="29" t="n">
        <f aca="false">F19/E19</f>
        <v>0.387683077466031</v>
      </c>
      <c r="J19" s="30" t="n">
        <f aca="false">D19/E19</f>
        <v>0.0961708134815599</v>
      </c>
      <c r="K19" s="30" t="n">
        <f aca="false">D19/G19</f>
        <v>0.0624498682250487</v>
      </c>
      <c r="L19" s="31" t="n">
        <f aca="false">LN(G19)</f>
        <v>9.07417694716331</v>
      </c>
      <c r="M19" s="30" t="n">
        <f aca="false">(B19-'Raw Data'!D42)/'Raw Data'!D42</f>
        <v>-0.0140296180826189</v>
      </c>
      <c r="N19" s="30" t="n">
        <f aca="false">H19/G19</f>
        <v>0.414804629311333</v>
      </c>
      <c r="O19" s="29" t="n">
        <f aca="false">'Raw Data'!L43</f>
        <v>18.97</v>
      </c>
      <c r="P19" s="29" t="n">
        <f aca="false">'Raw Data'!M43/'Raw Data'!N43</f>
        <v>4.71643518518519</v>
      </c>
    </row>
    <row r="20" customFormat="false" ht="15" hidden="false" customHeight="true" outlineLevel="0" collapsed="false">
      <c r="A20" s="21" t="s">
        <v>104</v>
      </c>
      <c r="B20" s="32" t="n">
        <f aca="false">'Raw Data'!D44</f>
        <v>5926</v>
      </c>
      <c r="C20" s="32" t="n">
        <f aca="false">'Raw Data'!E44</f>
        <v>767</v>
      </c>
      <c r="D20" s="32" t="n">
        <f aca="false">'Raw Data'!F44</f>
        <v>367</v>
      </c>
      <c r="E20" s="32" t="n">
        <f aca="false">'Raw Data'!G44+'Raw Data'!H44</f>
        <v>6139</v>
      </c>
      <c r="F20" s="32" t="n">
        <f aca="false">'Raw Data'!I44</f>
        <v>2132</v>
      </c>
      <c r="G20" s="32" t="n">
        <f aca="false">'Raw Data'!J44</f>
        <v>9064</v>
      </c>
      <c r="H20" s="32" t="n">
        <f aca="false">'Raw Data'!K44</f>
        <v>3546</v>
      </c>
      <c r="I20" s="33" t="n">
        <f aca="false">F20/E20</f>
        <v>0.347287831894445</v>
      </c>
      <c r="J20" s="34" t="n">
        <f aca="false">D20/E20</f>
        <v>0.0597817234077211</v>
      </c>
      <c r="K20" s="34" t="n">
        <f aca="false">D20/G20</f>
        <v>0.0404898499558694</v>
      </c>
      <c r="L20" s="35" t="n">
        <f aca="false">LN(G20)</f>
        <v>9.11206580270784</v>
      </c>
      <c r="M20" s="34" t="n">
        <f aca="false">(B20-'Raw Data'!D43)/'Raw Data'!D43</f>
        <v>-0.0630830039525692</v>
      </c>
      <c r="N20" s="34" t="n">
        <f aca="false">H20/G20</f>
        <v>0.391218005295675</v>
      </c>
      <c r="O20" s="33" t="n">
        <f aca="false">'Raw Data'!L44</f>
        <v>12.74</v>
      </c>
      <c r="P20" s="33" t="n">
        <f aca="false">'Raw Data'!M44/'Raw Data'!N44</f>
        <v>5.93316519546028</v>
      </c>
    </row>
    <row r="21" customFormat="false" ht="15" hidden="false" customHeight="true" outlineLevel="0" collapsed="false">
      <c r="A21" s="18" t="s">
        <v>105</v>
      </c>
      <c r="B21" s="28" t="n">
        <f aca="false">'Raw Data'!D45</f>
        <v>9386</v>
      </c>
      <c r="C21" s="28" t="n">
        <f aca="false">'Raw Data'!E45</f>
        <v>2262</v>
      </c>
      <c r="D21" s="28" t="n">
        <f aca="false">'Raw Data'!F45</f>
        <v>1677</v>
      </c>
      <c r="E21" s="28" t="n">
        <f aca="false">'Raw Data'!G45+'Raw Data'!H45</f>
        <v>7539</v>
      </c>
      <c r="F21" s="28" t="n">
        <f aca="false">'Raw Data'!I45</f>
        <v>1980</v>
      </c>
      <c r="G21" s="28" t="n">
        <f aca="false">'Raw Data'!J45</f>
        <v>10576</v>
      </c>
      <c r="H21" s="28" t="n">
        <f aca="false">'Raw Data'!K45</f>
        <v>3677</v>
      </c>
      <c r="I21" s="29" t="n">
        <f aca="false">F21/E21</f>
        <v>0.262634301631516</v>
      </c>
      <c r="J21" s="30" t="n">
        <f aca="false">D21/E21</f>
        <v>0.222443294866693</v>
      </c>
      <c r="K21" s="30" t="n">
        <f aca="false">D21/G21</f>
        <v>0.15856656580938</v>
      </c>
      <c r="L21" s="31" t="n">
        <f aca="false">LN(G21)</f>
        <v>9.26634256209147</v>
      </c>
      <c r="M21" s="30" t="n">
        <f aca="false">(B21-'Raw Data'!D44)/'Raw Data'!D44</f>
        <v>0.583867701653729</v>
      </c>
      <c r="N21" s="30" t="n">
        <f aca="false">H21/G21</f>
        <v>0.34767397881997</v>
      </c>
      <c r="O21" s="29" t="n">
        <f aca="false">'Raw Data'!L45</f>
        <v>58.07</v>
      </c>
      <c r="P21" s="29" t="n">
        <f aca="false">'Raw Data'!M45/'Raw Data'!N45</f>
        <v>5.15246212121212</v>
      </c>
    </row>
    <row r="22" customFormat="false" ht="15" hidden="false" customHeight="true" outlineLevel="0" collapsed="false">
      <c r="A22" s="21" t="s">
        <v>106</v>
      </c>
      <c r="B22" s="32" t="n">
        <f aca="false">'Raw Data'!D46</f>
        <v>9841</v>
      </c>
      <c r="C22" s="32" t="n">
        <f aca="false">'Raw Data'!E46</f>
        <v>1285</v>
      </c>
      <c r="D22" s="32" t="n">
        <f aca="false">'Raw Data'!F46</f>
        <v>749</v>
      </c>
      <c r="E22" s="32" t="n">
        <f aca="false">'Raw Data'!G46+'Raw Data'!H46</f>
        <v>8294</v>
      </c>
      <c r="F22" s="32" t="n">
        <f aca="false">'Raw Data'!I46</f>
        <v>1677</v>
      </c>
      <c r="G22" s="32" t="n">
        <f aca="false">'Raw Data'!J46</f>
        <v>10861</v>
      </c>
      <c r="H22" s="32" t="n">
        <f aca="false">'Raw Data'!K46</f>
        <v>3927</v>
      </c>
      <c r="I22" s="33" t="n">
        <f aca="false">F22/E22</f>
        <v>0.202194357366771</v>
      </c>
      <c r="J22" s="34" t="n">
        <f aca="false">D22/E22</f>
        <v>0.0903062454786593</v>
      </c>
      <c r="K22" s="34" t="n">
        <f aca="false">D22/G22</f>
        <v>0.0689623423257527</v>
      </c>
      <c r="L22" s="35" t="n">
        <f aca="false">LN(G22)</f>
        <v>9.29293367028004</v>
      </c>
      <c r="M22" s="34" t="n">
        <f aca="false">(B22-'Raw Data'!D45)/'Raw Data'!D45</f>
        <v>0.0484764542936288</v>
      </c>
      <c r="N22" s="34" t="n">
        <f aca="false">H22/G22</f>
        <v>0.361568916306049</v>
      </c>
      <c r="O22" s="33" t="n">
        <f aca="false">'Raw Data'!L46</f>
        <v>25.91</v>
      </c>
      <c r="P22" s="33" t="n">
        <f aca="false">'Raw Data'!M46/'Raw Data'!N46</f>
        <v>5.26629213483146</v>
      </c>
    </row>
    <row r="23" customFormat="false" ht="15" hidden="false" customHeight="true" outlineLevel="0" collapsed="false">
      <c r="A23" s="18" t="s">
        <v>107</v>
      </c>
      <c r="B23" s="28" t="n">
        <f aca="false">'Raw Data'!D47</f>
        <v>9299</v>
      </c>
      <c r="C23" s="28" t="n">
        <f aca="false">'Raw Data'!E47</f>
        <v>958</v>
      </c>
      <c r="D23" s="28" t="n">
        <f aca="false">'Raw Data'!F47</f>
        <v>608</v>
      </c>
      <c r="E23" s="28" t="n">
        <f aca="false">'Raw Data'!G47+'Raw Data'!H47</f>
        <v>8805</v>
      </c>
      <c r="F23" s="28" t="n">
        <f aca="false">'Raw Data'!I47</f>
        <v>1790</v>
      </c>
      <c r="G23" s="28" t="n">
        <f aca="false">'Raw Data'!J47</f>
        <v>11487</v>
      </c>
      <c r="H23" s="28" t="n">
        <f aca="false">'Raw Data'!K47</f>
        <v>3772</v>
      </c>
      <c r="I23" s="29" t="n">
        <f aca="false">F23/E23</f>
        <v>0.203293583191369</v>
      </c>
      <c r="J23" s="30" t="n">
        <f aca="false">D23/E23</f>
        <v>0.0690516751845542</v>
      </c>
      <c r="K23" s="30" t="n">
        <f aca="false">D23/G23</f>
        <v>0.0529293984504222</v>
      </c>
      <c r="L23" s="31" t="n">
        <f aca="false">LN(G23)</f>
        <v>9.34897124014541</v>
      </c>
      <c r="M23" s="30" t="n">
        <f aca="false">(B23-'Raw Data'!D46)/'Raw Data'!D46</f>
        <v>-0.0550757036886495</v>
      </c>
      <c r="N23" s="30" t="n">
        <f aca="false">H23/G23</f>
        <v>0.328371202228606</v>
      </c>
      <c r="O23" s="29" t="n">
        <f aca="false">'Raw Data'!L47</f>
        <v>21.01</v>
      </c>
      <c r="P23" s="29" t="n">
        <f aca="false">'Raw Data'!M47/'Raw Data'!N47</f>
        <v>7.13019079685746</v>
      </c>
    </row>
    <row r="24" customFormat="false" ht="15" hidden="false" customHeight="true" outlineLevel="0" collapsed="false">
      <c r="A24" s="21" t="s">
        <v>108</v>
      </c>
      <c r="B24" s="32" t="n">
        <f aca="false">'Raw Data'!D48</f>
        <v>9587</v>
      </c>
      <c r="C24" s="32" t="n">
        <f aca="false">'Raw Data'!E48</f>
        <v>1257</v>
      </c>
      <c r="D24" s="32" t="n">
        <f aca="false">'Raw Data'!F48</f>
        <v>879</v>
      </c>
      <c r="E24" s="32" t="n">
        <f aca="false">'Raw Data'!G48+'Raw Data'!H48</f>
        <v>9578</v>
      </c>
      <c r="F24" s="32" t="n">
        <f aca="false">'Raw Data'!I48</f>
        <v>1238</v>
      </c>
      <c r="G24" s="32" t="n">
        <f aca="false">'Raw Data'!J48</f>
        <v>11900</v>
      </c>
      <c r="H24" s="32" t="n">
        <f aca="false">'Raw Data'!K48</f>
        <v>4342</v>
      </c>
      <c r="I24" s="33" t="n">
        <f aca="false">F24/E24</f>
        <v>0.129254541657966</v>
      </c>
      <c r="J24" s="34" t="n">
        <f aca="false">D24/E24</f>
        <v>0.0917728126957611</v>
      </c>
      <c r="K24" s="34" t="n">
        <f aca="false">D24/G24</f>
        <v>0.0738655462184874</v>
      </c>
      <c r="L24" s="35" t="n">
        <f aca="false">LN(G24)</f>
        <v>9.38429367909962</v>
      </c>
      <c r="M24" s="34" t="n">
        <f aca="false">(B24-'Raw Data'!D47)/'Raw Data'!D47</f>
        <v>0.0309710721582966</v>
      </c>
      <c r="N24" s="34" t="n">
        <f aca="false">H24/G24</f>
        <v>0.364873949579832</v>
      </c>
      <c r="O24" s="33" t="n">
        <f aca="false">'Raw Data'!L48</f>
        <v>30.4</v>
      </c>
      <c r="P24" s="33" t="n">
        <f aca="false">'Raw Data'!M48/'Raw Data'!N48</f>
        <v>5.60977859778598</v>
      </c>
    </row>
    <row r="25" customFormat="false" ht="15" hidden="false" customHeight="true" outlineLevel="0" collapsed="false">
      <c r="A25" s="36" t="s">
        <v>109</v>
      </c>
      <c r="B25" s="37" t="n">
        <f aca="false">AVERAGE(B15:B24)</f>
        <v>7392.3</v>
      </c>
      <c r="C25" s="37" t="n">
        <f aca="false">AVERAGE(C15:C24)</f>
        <v>1164.2</v>
      </c>
      <c r="D25" s="37" t="n">
        <f aca="false">AVERAGE(D15:D24)</f>
        <v>774.5</v>
      </c>
      <c r="E25" s="37" t="n">
        <f aca="false">AVERAGE(E15:E24)</f>
        <v>6356.9</v>
      </c>
      <c r="F25" s="37" t="n">
        <f aca="false">AVERAGE(F15:F24)</f>
        <v>2032.8</v>
      </c>
      <c r="G25" s="37" t="n">
        <f aca="false">AVERAGE(G15:G24)</f>
        <v>9262.4</v>
      </c>
      <c r="H25" s="37" t="n">
        <f aca="false">AVERAGE(H15:H24)</f>
        <v>3392.1</v>
      </c>
      <c r="I25" s="38" t="n">
        <f aca="false">AVERAGE(I15:I24)</f>
        <v>0.370714125134678</v>
      </c>
      <c r="J25" s="39" t="n">
        <f aca="false">AVERAGE(J15:J24)</f>
        <v>0.131482965465703</v>
      </c>
      <c r="K25" s="39" t="n">
        <f aca="false">AVERAGE(K15:K24)</f>
        <v>0.0852138591417324</v>
      </c>
      <c r="L25" s="40" t="n">
        <f aca="false">AVERAGE(L15:L24)</f>
        <v>9.1158840912402</v>
      </c>
      <c r="M25" s="39" t="n">
        <f aca="false">AVERAGE(M15:M24)</f>
        <v>0.0649183862296443</v>
      </c>
      <c r="N25" s="39" t="n">
        <f aca="false">AVERAGE(N15:N24)</f>
        <v>0.367649488759982</v>
      </c>
      <c r="O25" s="38" t="n">
        <f aca="false">AVERAGE(O15:O24)</f>
        <v>26.643</v>
      </c>
      <c r="P25" s="38" t="n">
        <f aca="false">AVERAGE(P15:P24)</f>
        <v>5.10837072843639</v>
      </c>
    </row>
    <row r="27" customFormat="false" ht="15" hidden="false" customHeight="true" outlineLevel="0" collapsed="false">
      <c r="A27" s="41" t="s">
        <v>110</v>
      </c>
      <c r="I27" s="42" t="n">
        <f aca="false">STDEV(I15:I24)</f>
        <v>0.179111536751008</v>
      </c>
      <c r="J27" s="43" t="n">
        <f aca="false">STDEV(J15:J24)</f>
        <v>0.0658859240611858</v>
      </c>
      <c r="K27" s="43" t="n">
        <f aca="false">STDEV(K15:K24)</f>
        <v>0.0381953313774886</v>
      </c>
      <c r="O27" s="42" t="n">
        <f aca="false">STDEV(O15:O24)</f>
        <v>12.6811785729876</v>
      </c>
      <c r="P27" s="42" t="n">
        <f aca="false">STDEV(P15:P24)</f>
        <v>0.966150110074614</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65</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130</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131</v>
      </c>
      <c r="C5" s="26"/>
      <c r="D5" s="26"/>
      <c r="E5" s="26"/>
      <c r="F5" s="26"/>
    </row>
    <row r="6" customFormat="false" ht="18" hidden="false" customHeight="true" outlineLevel="0" collapsed="false">
      <c r="A6" s="25" t="s">
        <v>75</v>
      </c>
      <c r="B6" s="26" t="s">
        <v>132</v>
      </c>
      <c r="C6" s="26"/>
      <c r="D6" s="26"/>
      <c r="E6" s="26"/>
      <c r="F6" s="26"/>
    </row>
    <row r="7" customFormat="false" ht="18" hidden="false" customHeight="true" outlineLevel="0" collapsed="false">
      <c r="A7" s="25" t="s">
        <v>77</v>
      </c>
      <c r="B7" s="26" t="s">
        <v>133</v>
      </c>
      <c r="C7" s="26"/>
      <c r="D7" s="26"/>
      <c r="E7" s="26"/>
      <c r="F7" s="26"/>
    </row>
    <row r="8" customFormat="false" ht="18" hidden="false" customHeight="true" outlineLevel="0" collapsed="false">
      <c r="A8" s="25" t="s">
        <v>79</v>
      </c>
      <c r="B8" s="26" t="s">
        <v>134</v>
      </c>
      <c r="C8" s="26"/>
      <c r="D8" s="26"/>
      <c r="E8" s="26"/>
      <c r="F8" s="26"/>
    </row>
    <row r="9" customFormat="false" ht="18" hidden="false" customHeight="true" outlineLevel="0" collapsed="false">
      <c r="A9" s="25" t="s">
        <v>81</v>
      </c>
      <c r="B9" s="26" t="s">
        <v>135</v>
      </c>
      <c r="C9" s="26"/>
      <c r="D9" s="26"/>
      <c r="E9" s="26"/>
      <c r="F9" s="26"/>
    </row>
    <row r="10" customFormat="false" ht="18" hidden="false" customHeight="true" outlineLevel="0" collapsed="false">
      <c r="A10" s="25" t="s">
        <v>83</v>
      </c>
      <c r="B10" s="26" t="s">
        <v>123</v>
      </c>
      <c r="C10" s="26"/>
      <c r="D10" s="26"/>
      <c r="E10" s="26"/>
      <c r="F10" s="26"/>
    </row>
    <row r="11" customFormat="false" ht="15" hidden="false" customHeight="true" outlineLevel="0" collapsed="false">
      <c r="A11" s="25" t="s">
        <v>85</v>
      </c>
      <c r="B11" s="26"/>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Data'!D50</f>
        <v>3665</v>
      </c>
      <c r="C15" s="28" t="n">
        <f aca="false">'Raw Data'!E50</f>
        <v>730</v>
      </c>
      <c r="D15" s="28" t="n">
        <f aca="false">'Raw Data'!F50</f>
        <v>242</v>
      </c>
      <c r="E15" s="28" t="n">
        <f aca="false">'Raw Data'!G50+'Raw Data'!H50</f>
        <v>2415</v>
      </c>
      <c r="F15" s="28" t="n">
        <f aca="false">'Raw Data'!I50</f>
        <v>3503</v>
      </c>
      <c r="G15" s="28" t="n">
        <f aca="false">'Raw Data'!J50</f>
        <v>6506</v>
      </c>
      <c r="H15" s="28" t="n">
        <f aca="false">'Raw Data'!K50</f>
        <v>4755</v>
      </c>
      <c r="I15" s="29" t="n">
        <f aca="false">F15/E15</f>
        <v>1.45051759834369</v>
      </c>
      <c r="J15" s="30" t="n">
        <f aca="false">D15/E15</f>
        <v>0.100207039337474</v>
      </c>
      <c r="K15" s="30" t="n">
        <f aca="false">D15/G15</f>
        <v>0.0371964340608669</v>
      </c>
      <c r="L15" s="31" t="n">
        <f aca="false">LN(G15)</f>
        <v>8.7804801070333</v>
      </c>
      <c r="M15" s="30" t="n">
        <f aca="false">(B15-'Raw Data'!D49)/'Raw Data'!D49</f>
        <v>-0.0187416331994645</v>
      </c>
      <c r="N15" s="30" t="n">
        <f aca="false">H15/G15</f>
        <v>0.730863818014141</v>
      </c>
      <c r="O15" s="29" t="n">
        <f aca="false">'Raw Data'!L50</f>
        <v>0.48</v>
      </c>
      <c r="P15" s="29" t="n">
        <f aca="false">'Raw Data'!M50/'Raw Data'!N50</f>
        <v>2.88945578231293</v>
      </c>
    </row>
    <row r="16" customFormat="false" ht="15" hidden="false" customHeight="true" outlineLevel="0" collapsed="false">
      <c r="A16" s="21" t="s">
        <v>100</v>
      </c>
      <c r="B16" s="32" t="n">
        <f aca="false">'Raw Data'!D51</f>
        <v>4617</v>
      </c>
      <c r="C16" s="32" t="n">
        <f aca="false">'Raw Data'!E51</f>
        <v>886</v>
      </c>
      <c r="D16" s="32" t="n">
        <f aca="false">'Raw Data'!F51</f>
        <v>337</v>
      </c>
      <c r="E16" s="32" t="n">
        <f aca="false">'Raw Data'!G51+'Raw Data'!H51</f>
        <v>2725</v>
      </c>
      <c r="F16" s="32" t="n">
        <f aca="false">'Raw Data'!I51</f>
        <v>2849</v>
      </c>
      <c r="G16" s="32" t="n">
        <f aca="false">'Raw Data'!J51</f>
        <v>6150</v>
      </c>
      <c r="H16" s="32" t="n">
        <f aca="false">'Raw Data'!K51</f>
        <v>4467</v>
      </c>
      <c r="I16" s="33" t="n">
        <f aca="false">F16/E16</f>
        <v>1.04550458715596</v>
      </c>
      <c r="J16" s="34" t="n">
        <f aca="false">D16/E16</f>
        <v>0.123669724770642</v>
      </c>
      <c r="K16" s="34" t="n">
        <f aca="false">D16/G16</f>
        <v>0.0547967479674797</v>
      </c>
      <c r="L16" s="35" t="n">
        <f aca="false">LN(G16)</f>
        <v>8.72420736080056</v>
      </c>
      <c r="M16" s="34" t="n">
        <f aca="false">(B16-'Raw Data'!D50)/'Raw Data'!D50</f>
        <v>0.259754433833561</v>
      </c>
      <c r="N16" s="34" t="n">
        <f aca="false">H16/G16</f>
        <v>0.726341463414634</v>
      </c>
      <c r="O16" s="33" t="n">
        <f aca="false">'Raw Data'!L51</f>
        <v>0.66</v>
      </c>
      <c r="P16" s="33" t="n">
        <f aca="false">'Raw Data'!M51/'Raw Data'!N51</f>
        <v>2.79166666666667</v>
      </c>
    </row>
    <row r="17" customFormat="false" ht="15" hidden="false" customHeight="true" outlineLevel="0" collapsed="false">
      <c r="A17" s="18" t="s">
        <v>101</v>
      </c>
      <c r="B17" s="28" t="n">
        <f aca="false">'Raw Data'!D52</f>
        <v>4566</v>
      </c>
      <c r="C17" s="28" t="n">
        <f aca="false">'Raw Data'!E52</f>
        <v>852</v>
      </c>
      <c r="D17" s="28" t="n">
        <f aca="false">'Raw Data'!F52</f>
        <v>266</v>
      </c>
      <c r="E17" s="28" t="n">
        <f aca="false">'Raw Data'!G52+'Raw Data'!H52</f>
        <v>2694</v>
      </c>
      <c r="F17" s="28" t="n">
        <f aca="false">'Raw Data'!I52</f>
        <v>2798</v>
      </c>
      <c r="G17" s="28" t="n">
        <f aca="false">'Raw Data'!J52</f>
        <v>6129</v>
      </c>
      <c r="H17" s="28" t="n">
        <f aca="false">'Raw Data'!K52</f>
        <v>4079</v>
      </c>
      <c r="I17" s="29" t="n">
        <f aca="false">F17/E17</f>
        <v>1.03860430586488</v>
      </c>
      <c r="J17" s="30" t="n">
        <f aca="false">D17/E17</f>
        <v>0.0987379361544172</v>
      </c>
      <c r="K17" s="30" t="n">
        <f aca="false">D17/G17</f>
        <v>0.0434002284222549</v>
      </c>
      <c r="L17" s="31" t="n">
        <f aca="false">LN(G17)</f>
        <v>8.72078688348573</v>
      </c>
      <c r="M17" s="30" t="n">
        <f aca="false">(B17-'Raw Data'!D51)/'Raw Data'!D51</f>
        <v>-0.0110461338531514</v>
      </c>
      <c r="N17" s="30" t="n">
        <f aca="false">H17/G17</f>
        <v>0.665524555392397</v>
      </c>
      <c r="O17" s="29" t="n">
        <f aca="false">'Raw Data'!L52</f>
        <v>0.52</v>
      </c>
      <c r="P17" s="29" t="n">
        <f aca="false">'Raw Data'!M52/'Raw Data'!N52</f>
        <v>3.08307210031348</v>
      </c>
    </row>
    <row r="18" customFormat="false" ht="15" hidden="false" customHeight="true" outlineLevel="0" collapsed="false">
      <c r="A18" s="21" t="s">
        <v>102</v>
      </c>
      <c r="B18" s="32" t="n">
        <f aca="false">'Raw Data'!D53</f>
        <v>5220</v>
      </c>
      <c r="C18" s="32" t="n">
        <f aca="false">'Raw Data'!E53</f>
        <v>977</v>
      </c>
      <c r="D18" s="32" t="n">
        <f aca="false">'Raw Data'!F53</f>
        <v>371</v>
      </c>
      <c r="E18" s="32" t="n">
        <f aca="false">'Raw Data'!G53+'Raw Data'!H53</f>
        <v>2932</v>
      </c>
      <c r="F18" s="32" t="n">
        <f aca="false">'Raw Data'!I53</f>
        <v>2436</v>
      </c>
      <c r="G18" s="32" t="n">
        <f aca="false">'Raw Data'!J53</f>
        <v>6103</v>
      </c>
      <c r="H18" s="32" t="n">
        <f aca="false">'Raw Data'!K53</f>
        <v>3848</v>
      </c>
      <c r="I18" s="33" t="n">
        <f aca="false">F18/E18</f>
        <v>0.830832196452933</v>
      </c>
      <c r="J18" s="34" t="n">
        <f aca="false">D18/E18</f>
        <v>0.126534788540246</v>
      </c>
      <c r="K18" s="34" t="n">
        <f aca="false">D18/G18</f>
        <v>0.060789775520236</v>
      </c>
      <c r="L18" s="35" t="n">
        <f aca="false">LN(G18)</f>
        <v>8.7165357325445</v>
      </c>
      <c r="M18" s="34" t="n">
        <f aca="false">(B18-'Raw Data'!D52)/'Raw Data'!D52</f>
        <v>0.14323258869908</v>
      </c>
      <c r="N18" s="34" t="n">
        <f aca="false">H18/G18</f>
        <v>0.630509585449779</v>
      </c>
      <c r="O18" s="33" t="n">
        <f aca="false">'Raw Data'!L53</f>
        <v>0.73</v>
      </c>
      <c r="P18" s="33" t="n">
        <f aca="false">'Raw Data'!M53/'Raw Data'!N53</f>
        <v>2.84646739130435</v>
      </c>
    </row>
    <row r="19" customFormat="false" ht="15" hidden="false" customHeight="true" outlineLevel="0" collapsed="false">
      <c r="A19" s="18" t="s">
        <v>103</v>
      </c>
      <c r="B19" s="28" t="n">
        <f aca="false">'Raw Data'!D54</f>
        <v>4699</v>
      </c>
      <c r="C19" s="28" t="n">
        <f aca="false">'Raw Data'!E54</f>
        <v>841</v>
      </c>
      <c r="D19" s="28" t="n">
        <f aca="false">'Raw Data'!F54</f>
        <v>342</v>
      </c>
      <c r="E19" s="28" t="n">
        <f aca="false">'Raw Data'!G54+'Raw Data'!H54</f>
        <v>2967</v>
      </c>
      <c r="F19" s="28" t="n">
        <f aca="false">'Raw Data'!I54</f>
        <v>1991</v>
      </c>
      <c r="G19" s="28" t="n">
        <f aca="false">'Raw Data'!J54</f>
        <v>5718</v>
      </c>
      <c r="H19" s="28" t="n">
        <f aca="false">'Raw Data'!K54</f>
        <v>3826</v>
      </c>
      <c r="I19" s="29" t="n">
        <f aca="false">F19/E19</f>
        <v>0.671048196831817</v>
      </c>
      <c r="J19" s="30" t="n">
        <f aca="false">D19/E19</f>
        <v>0.115267947421638</v>
      </c>
      <c r="K19" s="30" t="n">
        <f aca="false">D19/G19</f>
        <v>0.0598111227701994</v>
      </c>
      <c r="L19" s="31" t="n">
        <f aca="false">LN(G19)</f>
        <v>8.65137437288226</v>
      </c>
      <c r="M19" s="30" t="n">
        <f aca="false">(B19-'Raw Data'!D53)/'Raw Data'!D53</f>
        <v>-0.099808429118774</v>
      </c>
      <c r="N19" s="30" t="n">
        <f aca="false">H19/G19</f>
        <v>0.669115075201119</v>
      </c>
      <c r="O19" s="29" t="n">
        <f aca="false">'Raw Data'!L54</f>
        <v>0.67</v>
      </c>
      <c r="P19" s="29" t="n">
        <f aca="false">'Raw Data'!M54/'Raw Data'!N54</f>
        <v>2.38239159001314</v>
      </c>
    </row>
    <row r="20" customFormat="false" ht="15" hidden="false" customHeight="true" outlineLevel="0" collapsed="false">
      <c r="A20" s="21" t="s">
        <v>104</v>
      </c>
      <c r="B20" s="32" t="n">
        <f aca="false">'Raw Data'!D55</f>
        <v>4519</v>
      </c>
      <c r="C20" s="32" t="n">
        <f aca="false">'Raw Data'!E55</f>
        <v>814</v>
      </c>
      <c r="D20" s="32" t="n">
        <f aca="false">'Raw Data'!F55</f>
        <v>346</v>
      </c>
      <c r="E20" s="32" t="n">
        <f aca="false">'Raw Data'!G55+'Raw Data'!H55</f>
        <v>3317</v>
      </c>
      <c r="F20" s="32" t="n">
        <f aca="false">'Raw Data'!I55</f>
        <v>1562</v>
      </c>
      <c r="G20" s="32" t="n">
        <f aca="false">'Raw Data'!J55</f>
        <v>5754</v>
      </c>
      <c r="H20" s="32" t="n">
        <f aca="false">'Raw Data'!K55</f>
        <v>3854</v>
      </c>
      <c r="I20" s="33" t="n">
        <f aca="false">F20/E20</f>
        <v>0.47090744648779</v>
      </c>
      <c r="J20" s="34" t="n">
        <f aca="false">D20/E20</f>
        <v>0.104311124510099</v>
      </c>
      <c r="K20" s="34" t="n">
        <f aca="false">D20/G20</f>
        <v>0.0601320820298923</v>
      </c>
      <c r="L20" s="35" t="n">
        <f aca="false">LN(G20)</f>
        <v>8.65765054411149</v>
      </c>
      <c r="M20" s="34" t="n">
        <f aca="false">(B20-'Raw Data'!D54)/'Raw Data'!D54</f>
        <v>-0.0383060225579911</v>
      </c>
      <c r="N20" s="34" t="n">
        <f aca="false">H20/G20</f>
        <v>0.669794925269378</v>
      </c>
      <c r="O20" s="33" t="n">
        <f aca="false">'Raw Data'!L55</f>
        <v>0.68</v>
      </c>
      <c r="P20" s="33" t="n">
        <f aca="false">'Raw Data'!M55/'Raw Data'!N55</f>
        <v>2.16438356164384</v>
      </c>
    </row>
    <row r="21" customFormat="false" ht="15" hidden="false" customHeight="true" outlineLevel="0" collapsed="false">
      <c r="A21" s="18" t="s">
        <v>105</v>
      </c>
      <c r="B21" s="28" t="n">
        <f aca="false">'Raw Data'!D56</f>
        <v>6919</v>
      </c>
      <c r="C21" s="28" t="n">
        <f aca="false">'Raw Data'!E56</f>
        <v>1495</v>
      </c>
      <c r="D21" s="28" t="n">
        <f aca="false">'Raw Data'!F56</f>
        <v>815</v>
      </c>
      <c r="E21" s="28" t="n">
        <f aca="false">'Raw Data'!G56+'Raw Data'!H56</f>
        <v>3798</v>
      </c>
      <c r="F21" s="28" t="n">
        <f aca="false">'Raw Data'!I56</f>
        <v>1596</v>
      </c>
      <c r="G21" s="28" t="n">
        <f aca="false">'Raw Data'!J56</f>
        <v>6431</v>
      </c>
      <c r="H21" s="28" t="n">
        <f aca="false">'Raw Data'!K56</f>
        <v>3795</v>
      </c>
      <c r="I21" s="29" t="n">
        <f aca="false">F21/E21</f>
        <v>0.420221169036335</v>
      </c>
      <c r="J21" s="30" t="n">
        <f aca="false">D21/E21</f>
        <v>0.214586624539231</v>
      </c>
      <c r="K21" s="30" t="n">
        <f aca="false">D21/G21</f>
        <v>0.126729902037008</v>
      </c>
      <c r="L21" s="31" t="n">
        <f aca="false">LN(G21)</f>
        <v>8.76888532613486</v>
      </c>
      <c r="M21" s="30" t="n">
        <f aca="false">(B21-'Raw Data'!D55)/'Raw Data'!D55</f>
        <v>0.531090949325072</v>
      </c>
      <c r="N21" s="30" t="n">
        <f aca="false">H21/G21</f>
        <v>0.590110402736744</v>
      </c>
      <c r="O21" s="29" t="n">
        <f aca="false">'Raw Data'!L56</f>
        <v>1.6</v>
      </c>
      <c r="P21" s="29" t="n">
        <f aca="false">'Raw Data'!M56/'Raw Data'!N56</f>
        <v>2.5380906460945</v>
      </c>
    </row>
    <row r="22" customFormat="false" ht="15" hidden="false" customHeight="true" outlineLevel="0" collapsed="false">
      <c r="A22" s="21" t="s">
        <v>106</v>
      </c>
      <c r="B22" s="32" t="n">
        <f aca="false">'Raw Data'!D57</f>
        <v>6267</v>
      </c>
      <c r="C22" s="32" t="n">
        <f aca="false">'Raw Data'!E57</f>
        <v>918</v>
      </c>
      <c r="D22" s="32" t="n">
        <f aca="false">'Raw Data'!F57</f>
        <v>422</v>
      </c>
      <c r="E22" s="32" t="n">
        <f aca="false">'Raw Data'!G57+'Raw Data'!H57</f>
        <v>4126</v>
      </c>
      <c r="F22" s="32" t="n">
        <f aca="false">'Raw Data'!I57</f>
        <v>1404</v>
      </c>
      <c r="G22" s="32" t="n">
        <f aca="false">'Raw Data'!J57</f>
        <v>6713</v>
      </c>
      <c r="H22" s="32" t="n">
        <f aca="false">'Raw Data'!K57</f>
        <v>4422</v>
      </c>
      <c r="I22" s="33" t="n">
        <f aca="false">F22/E22</f>
        <v>0.340281143965099</v>
      </c>
      <c r="J22" s="34" t="n">
        <f aca="false">D22/E22</f>
        <v>0.102278235579254</v>
      </c>
      <c r="K22" s="34" t="n">
        <f aca="false">D22/G22</f>
        <v>0.0628631014449576</v>
      </c>
      <c r="L22" s="35" t="n">
        <f aca="false">LN(G22)</f>
        <v>8.81180122393875</v>
      </c>
      <c r="M22" s="34" t="n">
        <f aca="false">(B22-'Raw Data'!D56)/'Raw Data'!D56</f>
        <v>-0.0942332707038589</v>
      </c>
      <c r="N22" s="34" t="n">
        <f aca="false">H22/G22</f>
        <v>0.658721882913749</v>
      </c>
      <c r="O22" s="33" t="n">
        <f aca="false">'Raw Data'!L57</f>
        <v>0.83</v>
      </c>
      <c r="P22" s="33" t="n">
        <f aca="false">'Raw Data'!M57/'Raw Data'!N57</f>
        <v>1.93243243243243</v>
      </c>
    </row>
    <row r="23" customFormat="false" ht="15" hidden="false" customHeight="true" outlineLevel="0" collapsed="false">
      <c r="A23" s="18" t="s">
        <v>107</v>
      </c>
      <c r="B23" s="28" t="n">
        <f aca="false">'Raw Data'!D58</f>
        <v>6730</v>
      </c>
      <c r="C23" s="28" t="n">
        <f aca="false">'Raw Data'!E58</f>
        <v>935</v>
      </c>
      <c r="D23" s="28" t="n">
        <f aca="false">'Raw Data'!F58</f>
        <v>390</v>
      </c>
      <c r="E23" s="28" t="n">
        <f aca="false">'Raw Data'!G58+'Raw Data'!H58</f>
        <v>4310</v>
      </c>
      <c r="F23" s="28" t="n">
        <f aca="false">'Raw Data'!I58</f>
        <v>2094</v>
      </c>
      <c r="G23" s="28" t="n">
        <f aca="false">'Raw Data'!J58</f>
        <v>7522</v>
      </c>
      <c r="H23" s="28" t="n">
        <f aca="false">'Raw Data'!K58</f>
        <v>4663</v>
      </c>
      <c r="I23" s="29" t="n">
        <f aca="false">F23/E23</f>
        <v>0.48584686774942</v>
      </c>
      <c r="J23" s="30" t="n">
        <f aca="false">D23/E23</f>
        <v>0.0904872389791183</v>
      </c>
      <c r="K23" s="30" t="n">
        <f aca="false">D23/G23</f>
        <v>0.0518479127891518</v>
      </c>
      <c r="L23" s="31" t="n">
        <f aca="false">LN(G23)</f>
        <v>8.92558733903028</v>
      </c>
      <c r="M23" s="30" t="n">
        <f aca="false">(B23-'Raw Data'!D57)/'Raw Data'!D57</f>
        <v>0.073879048986756</v>
      </c>
      <c r="N23" s="30" t="n">
        <f aca="false">H23/G23</f>
        <v>0.619914916245679</v>
      </c>
      <c r="O23" s="29" t="n">
        <f aca="false">'Raw Data'!L58</f>
        <v>0.76</v>
      </c>
      <c r="P23" s="29" t="n">
        <f aca="false">'Raw Data'!M58/'Raw Data'!N58</f>
        <v>2.50938337801609</v>
      </c>
    </row>
    <row r="24" customFormat="false" ht="15" hidden="false" customHeight="true" outlineLevel="0" collapsed="false">
      <c r="A24" s="21" t="s">
        <v>108</v>
      </c>
      <c r="B24" s="32" t="n">
        <f aca="false">'Raw Data'!D59</f>
        <v>6966</v>
      </c>
      <c r="C24" s="32" t="n">
        <f aca="false">'Raw Data'!E59</f>
        <v>886</v>
      </c>
      <c r="D24" s="32" t="n">
        <f aca="false">'Raw Data'!F59</f>
        <v>367</v>
      </c>
      <c r="E24" s="32" t="n">
        <f aca="false">'Raw Data'!G59+'Raw Data'!H59</f>
        <v>4611</v>
      </c>
      <c r="F24" s="32" t="n">
        <f aca="false">'Raw Data'!I59</f>
        <v>1606</v>
      </c>
      <c r="G24" s="32" t="n">
        <f aca="false">'Raw Data'!J59</f>
        <v>7129</v>
      </c>
      <c r="H24" s="32" t="n">
        <f aca="false">'Raw Data'!K59</f>
        <v>4478</v>
      </c>
      <c r="I24" s="33" t="n">
        <f aca="false">F24/E24</f>
        <v>0.348297549338538</v>
      </c>
      <c r="J24" s="34" t="n">
        <f aca="false">D24/E24</f>
        <v>0.0795922793320321</v>
      </c>
      <c r="K24" s="34" t="n">
        <f aca="false">D24/G24</f>
        <v>0.0514798709496423</v>
      </c>
      <c r="L24" s="35" t="n">
        <f aca="false">LN(G24)</f>
        <v>8.87192625111763</v>
      </c>
      <c r="M24" s="34" t="n">
        <f aca="false">(B24-'Raw Data'!D58)/'Raw Data'!D58</f>
        <v>0.0350668647845468</v>
      </c>
      <c r="N24" s="34" t="n">
        <f aca="false">H24/G24</f>
        <v>0.628138588862393</v>
      </c>
      <c r="O24" s="33" t="n">
        <f aca="false">'Raw Data'!L59</f>
        <v>0.72</v>
      </c>
      <c r="P24" s="33" t="n">
        <f aca="false">'Raw Data'!M59/'Raw Data'!N59</f>
        <v>2.88170865279299</v>
      </c>
    </row>
    <row r="25" customFormat="false" ht="15" hidden="false" customHeight="true" outlineLevel="0" collapsed="false">
      <c r="A25" s="36" t="s">
        <v>109</v>
      </c>
      <c r="B25" s="37" t="n">
        <f aca="false">AVERAGE(B15:B24)</f>
        <v>5416.8</v>
      </c>
      <c r="C25" s="37" t="n">
        <f aca="false">AVERAGE(C15:C24)</f>
        <v>933.4</v>
      </c>
      <c r="D25" s="37" t="n">
        <f aca="false">AVERAGE(D15:D24)</f>
        <v>389.8</v>
      </c>
      <c r="E25" s="37" t="n">
        <f aca="false">AVERAGE(E15:E24)</f>
        <v>3389.5</v>
      </c>
      <c r="F25" s="37" t="n">
        <f aca="false">AVERAGE(F15:F24)</f>
        <v>2183.9</v>
      </c>
      <c r="G25" s="37" t="n">
        <f aca="false">AVERAGE(G15:G24)</f>
        <v>6415.5</v>
      </c>
      <c r="H25" s="37" t="n">
        <f aca="false">AVERAGE(H15:H24)</f>
        <v>4218.7</v>
      </c>
      <c r="I25" s="38" t="n">
        <f aca="false">AVERAGE(I15:I24)</f>
        <v>0.710206106122647</v>
      </c>
      <c r="J25" s="39" t="n">
        <f aca="false">AVERAGE(J15:J24)</f>
        <v>0.115567293916415</v>
      </c>
      <c r="K25" s="39" t="n">
        <f aca="false">AVERAGE(K15:K24)</f>
        <v>0.0609047177991689</v>
      </c>
      <c r="L25" s="40" t="n">
        <f aca="false">AVERAGE(L15:L24)</f>
        <v>8.76292351410794</v>
      </c>
      <c r="M25" s="39" t="n">
        <f aca="false">AVERAGE(M15:M24)</f>
        <v>0.0780888396195776</v>
      </c>
      <c r="N25" s="39" t="n">
        <f aca="false">AVERAGE(N15:N24)</f>
        <v>0.658903521350001</v>
      </c>
      <c r="O25" s="38" t="n">
        <f aca="false">AVERAGE(O15:O24)</f>
        <v>0.765</v>
      </c>
      <c r="P25" s="38" t="n">
        <f aca="false">AVERAGE(P15:P24)</f>
        <v>2.60190522015904</v>
      </c>
    </row>
    <row r="27" customFormat="false" ht="15" hidden="false" customHeight="true" outlineLevel="0" collapsed="false">
      <c r="A27" s="41" t="s">
        <v>110</v>
      </c>
      <c r="I27" s="42" t="n">
        <f aca="false">STDEV(I15:I24)</f>
        <v>0.37177203457142</v>
      </c>
      <c r="J27" s="43" t="n">
        <f aca="false">STDEV(J15:J24)</f>
        <v>0.0376187434428837</v>
      </c>
      <c r="K27" s="43" t="n">
        <f aca="false">STDEV(K15:K24)</f>
        <v>0.0245294537037734</v>
      </c>
      <c r="O27" s="42" t="n">
        <f aca="false">STDEV(O15:O24)</f>
        <v>0.311492821390442</v>
      </c>
      <c r="P27" s="42" t="n">
        <f aca="false">STDEV(P15:P24)</f>
        <v>0.363433435069082</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66</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136</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137</v>
      </c>
      <c r="C5" s="26"/>
      <c r="D5" s="26"/>
      <c r="E5" s="26"/>
      <c r="F5" s="26"/>
    </row>
    <row r="6" customFormat="false" ht="18" hidden="false" customHeight="true" outlineLevel="0" collapsed="false">
      <c r="A6" s="25" t="s">
        <v>75</v>
      </c>
      <c r="B6" s="26" t="s">
        <v>138</v>
      </c>
      <c r="C6" s="26"/>
      <c r="D6" s="26"/>
      <c r="E6" s="26"/>
      <c r="F6" s="26"/>
    </row>
    <row r="7" customFormat="false" ht="18" hidden="false" customHeight="true" outlineLevel="0" collapsed="false">
      <c r="A7" s="25" t="s">
        <v>77</v>
      </c>
      <c r="B7" s="26" t="s">
        <v>139</v>
      </c>
      <c r="C7" s="26"/>
      <c r="D7" s="26"/>
      <c r="E7" s="26"/>
      <c r="F7" s="26"/>
    </row>
    <row r="8" customFormat="false" ht="18" hidden="false" customHeight="true" outlineLevel="0" collapsed="false">
      <c r="A8" s="25" t="s">
        <v>79</v>
      </c>
      <c r="B8" s="26" t="s">
        <v>140</v>
      </c>
      <c r="C8" s="26"/>
      <c r="D8" s="26"/>
      <c r="E8" s="26"/>
      <c r="F8" s="26"/>
    </row>
    <row r="9" customFormat="false" ht="18" hidden="false" customHeight="true" outlineLevel="0" collapsed="false">
      <c r="A9" s="25" t="s">
        <v>81</v>
      </c>
      <c r="B9" s="26" t="s">
        <v>141</v>
      </c>
      <c r="C9" s="26"/>
      <c r="D9" s="26"/>
      <c r="E9" s="26"/>
      <c r="F9" s="26"/>
    </row>
    <row r="10" customFormat="false" ht="18" hidden="false" customHeight="true" outlineLevel="0" collapsed="false">
      <c r="A10" s="25" t="s">
        <v>83</v>
      </c>
      <c r="B10" s="26" t="s">
        <v>142</v>
      </c>
      <c r="C10" s="26"/>
      <c r="D10" s="26"/>
      <c r="E10" s="26"/>
      <c r="F10" s="26"/>
    </row>
    <row r="11" customFormat="false" ht="15" hidden="false" customHeight="true" outlineLevel="0" collapsed="false">
      <c r="A11" s="25" t="s">
        <v>85</v>
      </c>
      <c r="B11" s="26"/>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Data'!D61</f>
        <v>5357</v>
      </c>
      <c r="C15" s="28" t="n">
        <f aca="false">'Raw Data'!E61</f>
        <v>808</v>
      </c>
      <c r="D15" s="28" t="n">
        <f aca="false">'Raw Data'!F61</f>
        <v>321</v>
      </c>
      <c r="E15" s="28" t="n">
        <f aca="false">'Raw Data'!G61+'Raw Data'!H61</f>
        <v>2986</v>
      </c>
      <c r="F15" s="28" t="n">
        <f aca="false">'Raw Data'!I61</f>
        <v>3123</v>
      </c>
      <c r="G15" s="28" t="n">
        <f aca="false">'Raw Data'!J61</f>
        <v>6990</v>
      </c>
      <c r="H15" s="28" t="n">
        <f aca="false">'Raw Data'!K61</f>
        <v>2928</v>
      </c>
      <c r="I15" s="29" t="n">
        <f aca="false">F15/E15</f>
        <v>1.04588077695914</v>
      </c>
      <c r="J15" s="30" t="n">
        <f aca="false">D15/E15</f>
        <v>0.107501674480911</v>
      </c>
      <c r="K15" s="30" t="n">
        <f aca="false">D15/G15</f>
        <v>0.0459227467811159</v>
      </c>
      <c r="L15" s="31" t="n">
        <f aca="false">LN(G15)</f>
        <v>8.85223583522786</v>
      </c>
      <c r="M15" s="30" t="n">
        <f aca="false">(B15-'Raw Data'!D60)/'Raw Data'!D60</f>
        <v>0.0252631578947368</v>
      </c>
      <c r="N15" s="30" t="n">
        <f aca="false">H15/G15</f>
        <v>0.418884120171674</v>
      </c>
      <c r="O15" s="29" t="n">
        <f aca="false">'Raw Data'!L61</f>
        <v>12.42</v>
      </c>
      <c r="P15" s="29" t="n">
        <f aca="false">'Raw Data'!M61/'Raw Data'!N61</f>
        <v>3.17727272727273</v>
      </c>
    </row>
    <row r="16" customFormat="false" ht="15" hidden="false" customHeight="true" outlineLevel="0" collapsed="false">
      <c r="A16" s="21" t="s">
        <v>100</v>
      </c>
      <c r="B16" s="32" t="n">
        <f aca="false">'Raw Data'!D62</f>
        <v>5967</v>
      </c>
      <c r="C16" s="32" t="n">
        <f aca="false">'Raw Data'!E62</f>
        <v>732</v>
      </c>
      <c r="D16" s="32" t="n">
        <f aca="false">'Raw Data'!F62</f>
        <v>19</v>
      </c>
      <c r="E16" s="32" t="n">
        <f aca="false">'Raw Data'!G62+'Raw Data'!H62</f>
        <v>3011</v>
      </c>
      <c r="F16" s="32" t="n">
        <f aca="false">'Raw Data'!I62</f>
        <v>2428</v>
      </c>
      <c r="G16" s="32" t="n">
        <f aca="false">'Raw Data'!J62</f>
        <v>6458</v>
      </c>
      <c r="H16" s="32" t="n">
        <f aca="false">'Raw Data'!K62</f>
        <v>3177</v>
      </c>
      <c r="I16" s="33" t="n">
        <f aca="false">F16/E16</f>
        <v>0.806376619063434</v>
      </c>
      <c r="J16" s="34" t="n">
        <f aca="false">D16/E16</f>
        <v>0.00631019594818997</v>
      </c>
      <c r="K16" s="34" t="n">
        <f aca="false">D16/G16</f>
        <v>0.0029420873335398</v>
      </c>
      <c r="L16" s="35" t="n">
        <f aca="false">LN(G16)</f>
        <v>8.77307495131822</v>
      </c>
      <c r="M16" s="34" t="n">
        <f aca="false">(B16-'Raw Data'!D61)/'Raw Data'!D61</f>
        <v>0.113869703192085</v>
      </c>
      <c r="N16" s="34" t="n">
        <f aca="false">H16/G16</f>
        <v>0.491947971508207</v>
      </c>
      <c r="O16" s="33" t="n">
        <f aca="false">'Raw Data'!L62</f>
        <v>0.72</v>
      </c>
      <c r="P16" s="33" t="n">
        <f aca="false">'Raw Data'!M62/'Raw Data'!N62</f>
        <v>2.71021611001965</v>
      </c>
    </row>
    <row r="17" customFormat="false" ht="15" hidden="false" customHeight="true" outlineLevel="0" collapsed="false">
      <c r="A17" s="18" t="s">
        <v>101</v>
      </c>
      <c r="B17" s="28" t="n">
        <f aca="false">'Raw Data'!D63</f>
        <v>6332</v>
      </c>
      <c r="C17" s="28" t="n">
        <f aca="false">'Raw Data'!E63</f>
        <v>639</v>
      </c>
      <c r="D17" s="28" t="n">
        <f aca="false">'Raw Data'!F63</f>
        <v>250</v>
      </c>
      <c r="E17" s="28" t="n">
        <f aca="false">'Raw Data'!G63+'Raw Data'!H63</f>
        <v>3159</v>
      </c>
      <c r="F17" s="28" t="n">
        <f aca="false">'Raw Data'!I63</f>
        <v>2562</v>
      </c>
      <c r="G17" s="28" t="n">
        <f aca="false">'Raw Data'!J63</f>
        <v>7044</v>
      </c>
      <c r="H17" s="28" t="n">
        <f aca="false">'Raw Data'!K63</f>
        <v>3208</v>
      </c>
      <c r="I17" s="29" t="n">
        <f aca="false">F17/E17</f>
        <v>0.811016144349478</v>
      </c>
      <c r="J17" s="30" t="n">
        <f aca="false">D17/E17</f>
        <v>0.0791389680278569</v>
      </c>
      <c r="K17" s="30" t="n">
        <f aca="false">D17/G17</f>
        <v>0.0354911981828507</v>
      </c>
      <c r="L17" s="31" t="n">
        <f aca="false">LN(G17)</f>
        <v>8.8599314696161</v>
      </c>
      <c r="M17" s="30" t="n">
        <f aca="false">(B17-'Raw Data'!D62)/'Raw Data'!D62</f>
        <v>0.06116976705212</v>
      </c>
      <c r="N17" s="30" t="n">
        <f aca="false">H17/G17</f>
        <v>0.45542305508234</v>
      </c>
      <c r="O17" s="29" t="n">
        <f aca="false">'Raw Data'!L63</f>
        <v>9.67</v>
      </c>
      <c r="P17" s="29" t="n">
        <f aca="false">'Raw Data'!M63/'Raw Data'!N63</f>
        <v>2.23036253776435</v>
      </c>
    </row>
    <row r="18" customFormat="false" ht="15" hidden="false" customHeight="true" outlineLevel="0" collapsed="false">
      <c r="A18" s="21" t="s">
        <v>102</v>
      </c>
      <c r="B18" s="32" t="n">
        <f aca="false">'Raw Data'!D64</f>
        <v>6436</v>
      </c>
      <c r="C18" s="32" t="n">
        <f aca="false">'Raw Data'!E64</f>
        <v>633</v>
      </c>
      <c r="D18" s="32" t="n">
        <f aca="false">'Raw Data'!F64</f>
        <v>199</v>
      </c>
      <c r="E18" s="32" t="n">
        <f aca="false">'Raw Data'!G64+'Raw Data'!H64</f>
        <v>2817</v>
      </c>
      <c r="F18" s="32" t="n">
        <f aca="false">'Raw Data'!I64</f>
        <v>2652</v>
      </c>
      <c r="G18" s="32" t="n">
        <f aca="false">'Raw Data'!J64</f>
        <v>7014</v>
      </c>
      <c r="H18" s="32" t="n">
        <f aca="false">'Raw Data'!K64</f>
        <v>3362</v>
      </c>
      <c r="I18" s="33" t="n">
        <f aca="false">F18/E18</f>
        <v>0.941427050053248</v>
      </c>
      <c r="J18" s="34" t="n">
        <f aca="false">D18/E18</f>
        <v>0.0706425275115371</v>
      </c>
      <c r="K18" s="34" t="n">
        <f aca="false">D18/G18</f>
        <v>0.0283718277730254</v>
      </c>
      <c r="L18" s="35" t="n">
        <f aca="false">LN(G18)</f>
        <v>8.85566343070012</v>
      </c>
      <c r="M18" s="34" t="n">
        <f aca="false">(B18-'Raw Data'!D63)/'Raw Data'!D63</f>
        <v>0.016424510423247</v>
      </c>
      <c r="N18" s="34" t="n">
        <f aca="false">H18/G18</f>
        <v>0.479327060165384</v>
      </c>
      <c r="O18" s="33" t="n">
        <f aca="false">'Raw Data'!L64</f>
        <v>7.71</v>
      </c>
      <c r="P18" s="33" t="n">
        <f aca="false">'Raw Data'!M64/'Raw Data'!N64</f>
        <v>2.02781371280724</v>
      </c>
    </row>
    <row r="19" customFormat="false" ht="15" hidden="false" customHeight="true" outlineLevel="0" collapsed="false">
      <c r="A19" s="18" t="s">
        <v>103</v>
      </c>
      <c r="B19" s="28" t="n">
        <f aca="false">'Raw Data'!D65</f>
        <v>6705</v>
      </c>
      <c r="C19" s="28" t="n">
        <f aca="false">'Raw Data'!E65</f>
        <v>708</v>
      </c>
      <c r="D19" s="28" t="n">
        <f aca="false">'Raw Data'!F65</f>
        <v>171</v>
      </c>
      <c r="E19" s="28" t="n">
        <f aca="false">'Raw Data'!G65+'Raw Data'!H65</f>
        <v>2854</v>
      </c>
      <c r="F19" s="28" t="n">
        <f aca="false">'Raw Data'!I65</f>
        <v>2431</v>
      </c>
      <c r="G19" s="28" t="n">
        <f aca="false">'Raw Data'!J65</f>
        <v>6815</v>
      </c>
      <c r="H19" s="28" t="n">
        <f aca="false">'Raw Data'!K65</f>
        <v>3532</v>
      </c>
      <c r="I19" s="29" t="n">
        <f aca="false">F19/E19</f>
        <v>0.851786965662228</v>
      </c>
      <c r="J19" s="30" t="n">
        <f aca="false">D19/E19</f>
        <v>0.0599159074982481</v>
      </c>
      <c r="K19" s="30" t="n">
        <f aca="false">D19/G19</f>
        <v>0.0250917094644167</v>
      </c>
      <c r="L19" s="31" t="n">
        <f aca="false">LN(G19)</f>
        <v>8.82688134413063</v>
      </c>
      <c r="M19" s="30" t="n">
        <f aca="false">(B19-'Raw Data'!D64)/'Raw Data'!D64</f>
        <v>0.0417961466749534</v>
      </c>
      <c r="N19" s="30" t="n">
        <f aca="false">H19/G19</f>
        <v>0.518268525311812</v>
      </c>
      <c r="O19" s="29" t="n">
        <f aca="false">'Raw Data'!L65</f>
        <v>6.62</v>
      </c>
      <c r="P19" s="29" t="n">
        <f aca="false">'Raw Data'!M65/'Raw Data'!N65</f>
        <v>1.80261437908497</v>
      </c>
    </row>
    <row r="20" customFormat="false" ht="15" hidden="false" customHeight="true" outlineLevel="0" collapsed="false">
      <c r="A20" s="21" t="s">
        <v>104</v>
      </c>
      <c r="B20" s="32" t="n">
        <f aca="false">'Raw Data'!D66</f>
        <v>4529</v>
      </c>
      <c r="C20" s="32" t="n">
        <f aca="false">'Raw Data'!E66</f>
        <v>477</v>
      </c>
      <c r="D20" s="32" t="n">
        <f aca="false">'Raw Data'!F66</f>
        <v>93</v>
      </c>
      <c r="E20" s="32" t="n">
        <f aca="false">'Raw Data'!G66+'Raw Data'!H66</f>
        <v>2941</v>
      </c>
      <c r="F20" s="32" t="n">
        <f aca="false">'Raw Data'!I66</f>
        <v>1985</v>
      </c>
      <c r="G20" s="32" t="n">
        <f aca="false">'Raw Data'!J66</f>
        <v>6609</v>
      </c>
      <c r="H20" s="32" t="n">
        <f aca="false">'Raw Data'!K66</f>
        <v>3332</v>
      </c>
      <c r="I20" s="33" t="n">
        <f aca="false">F20/E20</f>
        <v>0.674940496429786</v>
      </c>
      <c r="J20" s="34" t="n">
        <f aca="false">D20/E20</f>
        <v>0.0316218973138388</v>
      </c>
      <c r="K20" s="34" t="n">
        <f aca="false">D20/G20</f>
        <v>0.0140717203812982</v>
      </c>
      <c r="L20" s="35" t="n">
        <f aca="false">LN(G20)</f>
        <v>8.79618763547045</v>
      </c>
      <c r="M20" s="34" t="n">
        <f aca="false">(B20-'Raw Data'!D65)/'Raw Data'!D65</f>
        <v>-0.324533929903057</v>
      </c>
      <c r="N20" s="34" t="n">
        <f aca="false">H20/G20</f>
        <v>0.504160992585868</v>
      </c>
      <c r="O20" s="33" t="n">
        <f aca="false">'Raw Data'!L66</f>
        <v>3.58</v>
      </c>
      <c r="P20" s="33" t="n">
        <f aca="false">'Raw Data'!M66/'Raw Data'!N66</f>
        <v>1.6319857312723</v>
      </c>
    </row>
    <row r="21" customFormat="false" ht="15" hidden="false" customHeight="true" outlineLevel="0" collapsed="false">
      <c r="A21" s="18" t="s">
        <v>105</v>
      </c>
      <c r="B21" s="28" t="n">
        <f aca="false">'Raw Data'!D67</f>
        <v>7436</v>
      </c>
      <c r="C21" s="28" t="n">
        <f aca="false">'Raw Data'!E67</f>
        <v>790</v>
      </c>
      <c r="D21" s="28" t="n">
        <f aca="false">'Raw Data'!F67</f>
        <v>59</v>
      </c>
      <c r="E21" s="28" t="n">
        <f aca="false">'Raw Data'!G67+'Raw Data'!H67</f>
        <v>3012</v>
      </c>
      <c r="F21" s="28" t="n">
        <f aca="false">'Raw Data'!I67</f>
        <v>1783</v>
      </c>
      <c r="G21" s="28" t="n">
        <f aca="false">'Raw Data'!J67</f>
        <v>7413</v>
      </c>
      <c r="H21" s="28" t="n">
        <f aca="false">'Raw Data'!K67</f>
        <v>3268</v>
      </c>
      <c r="I21" s="29" t="n">
        <f aca="false">F21/E21</f>
        <v>0.591965471447543</v>
      </c>
      <c r="J21" s="30" t="n">
        <f aca="false">D21/E21</f>
        <v>0.0195883134130146</v>
      </c>
      <c r="K21" s="30" t="n">
        <f aca="false">D21/G21</f>
        <v>0.00795899096182382</v>
      </c>
      <c r="L21" s="31" t="n">
        <f aca="false">LN(G21)</f>
        <v>8.91099049465672</v>
      </c>
      <c r="M21" s="30" t="n">
        <f aca="false">(B21-'Raw Data'!D66)/'Raw Data'!D66</f>
        <v>0.641863546036653</v>
      </c>
      <c r="N21" s="30" t="n">
        <f aca="false">H21/G21</f>
        <v>0.440847160393903</v>
      </c>
      <c r="O21" s="29" t="n">
        <f aca="false">'Raw Data'!L67</f>
        <v>2.28</v>
      </c>
      <c r="P21" s="29" t="n">
        <f aca="false">'Raw Data'!M67/'Raw Data'!N67</f>
        <v>1.41046200840015</v>
      </c>
    </row>
    <row r="22" customFormat="false" ht="15" hidden="false" customHeight="true" outlineLevel="0" collapsed="false">
      <c r="A22" s="21" t="s">
        <v>106</v>
      </c>
      <c r="B22" s="32" t="n">
        <f aca="false">'Raw Data'!D68</f>
        <v>7723</v>
      </c>
      <c r="C22" s="32" t="n">
        <f aca="false">'Raw Data'!E68</f>
        <v>720</v>
      </c>
      <c r="D22" s="32" t="n">
        <f aca="false">'Raw Data'!F68</f>
        <v>346</v>
      </c>
      <c r="E22" s="32" t="n">
        <f aca="false">'Raw Data'!G68+'Raw Data'!H68</f>
        <v>3297</v>
      </c>
      <c r="F22" s="32" t="n">
        <f aca="false">'Raw Data'!I68</f>
        <v>1420</v>
      </c>
      <c r="G22" s="32" t="n">
        <f aca="false">'Raw Data'!J68</f>
        <v>6398</v>
      </c>
      <c r="H22" s="32" t="n">
        <f aca="false">'Raw Data'!K68</f>
        <v>3255</v>
      </c>
      <c r="I22" s="33" t="n">
        <f aca="false">F22/E22</f>
        <v>0.430694570821959</v>
      </c>
      <c r="J22" s="34" t="n">
        <f aca="false">D22/E22</f>
        <v>0.104943888383379</v>
      </c>
      <c r="K22" s="34" t="n">
        <f aca="false">D22/G22</f>
        <v>0.0540793998124414</v>
      </c>
      <c r="L22" s="35" t="n">
        <f aca="false">LN(G22)</f>
        <v>8.76374072050946</v>
      </c>
      <c r="M22" s="34" t="n">
        <f aca="false">(B22-'Raw Data'!D67)/'Raw Data'!D67</f>
        <v>0.0385960193652501</v>
      </c>
      <c r="N22" s="34" t="n">
        <f aca="false">H22/G22</f>
        <v>0.508752735229759</v>
      </c>
      <c r="O22" s="33" t="n">
        <f aca="false">'Raw Data'!L68</f>
        <v>13.23</v>
      </c>
      <c r="P22" s="33" t="n">
        <f aca="false">'Raw Data'!M68/'Raw Data'!N68</f>
        <v>1.639500297442</v>
      </c>
    </row>
    <row r="23" customFormat="false" ht="15" hidden="false" customHeight="true" outlineLevel="0" collapsed="false">
      <c r="A23" s="18" t="s">
        <v>107</v>
      </c>
      <c r="B23" s="28" t="n">
        <f aca="false">'Raw Data'!D69</f>
        <v>7100</v>
      </c>
      <c r="C23" s="28" t="n">
        <f aca="false">'Raw Data'!E69</f>
        <v>767</v>
      </c>
      <c r="D23" s="28" t="n">
        <f aca="false">'Raw Data'!F69</f>
        <v>305</v>
      </c>
      <c r="E23" s="28" t="n">
        <f aca="false">'Raw Data'!G69+'Raw Data'!H69</f>
        <v>3477</v>
      </c>
      <c r="F23" s="28" t="n">
        <f aca="false">'Raw Data'!I69</f>
        <v>1320</v>
      </c>
      <c r="G23" s="28" t="n">
        <f aca="false">'Raw Data'!J69</f>
        <v>6729</v>
      </c>
      <c r="H23" s="28" t="n">
        <f aca="false">'Raw Data'!K69</f>
        <v>3288</v>
      </c>
      <c r="I23" s="29" t="n">
        <f aca="false">F23/E23</f>
        <v>0.379637618636756</v>
      </c>
      <c r="J23" s="30" t="n">
        <f aca="false">D23/E23</f>
        <v>0.087719298245614</v>
      </c>
      <c r="K23" s="30" t="n">
        <f aca="false">D23/G23</f>
        <v>0.0453262000297221</v>
      </c>
      <c r="L23" s="31" t="n">
        <f aca="false">LN(G23)</f>
        <v>8.81418182318832</v>
      </c>
      <c r="M23" s="30" t="n">
        <f aca="false">(B23-'Raw Data'!D68)/'Raw Data'!D68</f>
        <v>-0.0806681341447624</v>
      </c>
      <c r="N23" s="30" t="n">
        <f aca="false">H23/G23</f>
        <v>0.488631297369594</v>
      </c>
      <c r="O23" s="29" t="n">
        <f aca="false">'Raw Data'!L69</f>
        <v>11.65</v>
      </c>
      <c r="P23" s="29" t="n">
        <f aca="false">'Raw Data'!M69/'Raw Data'!N69</f>
        <v>1.60351966873706</v>
      </c>
    </row>
    <row r="24" customFormat="false" ht="15" hidden="false" customHeight="true" outlineLevel="0" collapsed="false">
      <c r="A24" s="21" t="s">
        <v>108</v>
      </c>
      <c r="B24" s="32" t="n">
        <f aca="false">'Raw Data'!D70</f>
        <v>6236</v>
      </c>
      <c r="C24" s="32" t="n">
        <f aca="false">'Raw Data'!E70</f>
        <v>581</v>
      </c>
      <c r="D24" s="32" t="n">
        <f aca="false">'Raw Data'!F70</f>
        <v>240</v>
      </c>
      <c r="E24" s="32" t="n">
        <f aca="false">'Raw Data'!G70+'Raw Data'!H70</f>
        <v>3587</v>
      </c>
      <c r="F24" s="32" t="n">
        <f aca="false">'Raw Data'!I70</f>
        <v>1496</v>
      </c>
      <c r="G24" s="32" t="n">
        <f aca="false">'Raw Data'!J70</f>
        <v>7324</v>
      </c>
      <c r="H24" s="32" t="n">
        <f aca="false">'Raw Data'!K70</f>
        <v>3504</v>
      </c>
      <c r="I24" s="33" t="n">
        <f aca="false">F24/E24</f>
        <v>0.417061611374408</v>
      </c>
      <c r="J24" s="34" t="n">
        <f aca="false">D24/E24</f>
        <v>0.0669082798996376</v>
      </c>
      <c r="K24" s="34" t="n">
        <f aca="false">D24/G24</f>
        <v>0.0327689787001639</v>
      </c>
      <c r="L24" s="35" t="n">
        <f aca="false">LN(G24)</f>
        <v>8.8989119057944</v>
      </c>
      <c r="M24" s="34" t="n">
        <f aca="false">(B24-'Raw Data'!D69)/'Raw Data'!D69</f>
        <v>-0.12169014084507</v>
      </c>
      <c r="N24" s="34" t="n">
        <f aca="false">H24/G24</f>
        <v>0.478427089022392</v>
      </c>
      <c r="O24" s="33" t="n">
        <f aca="false">'Raw Data'!L70</f>
        <v>9.18</v>
      </c>
      <c r="P24" s="33" t="n">
        <f aca="false">'Raw Data'!M70/'Raw Data'!N70</f>
        <v>1.50468540829987</v>
      </c>
    </row>
    <row r="25" customFormat="false" ht="15" hidden="false" customHeight="true" outlineLevel="0" collapsed="false">
      <c r="A25" s="36" t="s">
        <v>109</v>
      </c>
      <c r="B25" s="37" t="n">
        <f aca="false">AVERAGE(B15:B24)</f>
        <v>6382.1</v>
      </c>
      <c r="C25" s="37" t="n">
        <f aca="false">AVERAGE(C15:C24)</f>
        <v>685.5</v>
      </c>
      <c r="D25" s="37" t="n">
        <f aca="false">AVERAGE(D15:D24)</f>
        <v>200.3</v>
      </c>
      <c r="E25" s="37" t="n">
        <f aca="false">AVERAGE(E15:E24)</f>
        <v>3114.1</v>
      </c>
      <c r="F25" s="37" t="n">
        <f aca="false">AVERAGE(F15:F24)</f>
        <v>2120</v>
      </c>
      <c r="G25" s="37" t="n">
        <f aca="false">AVERAGE(G15:G24)</f>
        <v>6879.4</v>
      </c>
      <c r="H25" s="37" t="n">
        <f aca="false">AVERAGE(H15:H24)</f>
        <v>3285.4</v>
      </c>
      <c r="I25" s="38" t="n">
        <f aca="false">AVERAGE(I15:I24)</f>
        <v>0.695078732479798</v>
      </c>
      <c r="J25" s="39" t="n">
        <f aca="false">AVERAGE(J15:J24)</f>
        <v>0.0634290950722227</v>
      </c>
      <c r="K25" s="39" t="n">
        <f aca="false">AVERAGE(K15:K24)</f>
        <v>0.0292024859420398</v>
      </c>
      <c r="L25" s="40" t="n">
        <f aca="false">AVERAGE(L15:L24)</f>
        <v>8.83517996106123</v>
      </c>
      <c r="M25" s="39" t="n">
        <f aca="false">AVERAGE(M15:M24)</f>
        <v>0.0412090645746155</v>
      </c>
      <c r="N25" s="39" t="n">
        <f aca="false">AVERAGE(N15:N24)</f>
        <v>0.478467000684093</v>
      </c>
      <c r="O25" s="38" t="n">
        <f aca="false">AVERAGE(O15:O24)</f>
        <v>7.706</v>
      </c>
      <c r="P25" s="38" t="n">
        <f aca="false">AVERAGE(P15:P24)</f>
        <v>1.97384325811003</v>
      </c>
    </row>
    <row r="27" customFormat="false" ht="15" hidden="false" customHeight="true" outlineLevel="0" collapsed="false">
      <c r="A27" s="41" t="s">
        <v>110</v>
      </c>
      <c r="I27" s="42" t="n">
        <f aca="false">STDEV(I15:I24)</f>
        <v>0.233777965736731</v>
      </c>
      <c r="J27" s="43" t="n">
        <f aca="false">STDEV(J15:J24)</f>
        <v>0.0346016149628123</v>
      </c>
      <c r="K27" s="43" t="n">
        <f aca="false">STDEV(K15:K24)</f>
        <v>0.016990497511562</v>
      </c>
      <c r="O27" s="42" t="n">
        <f aca="false">STDEV(O15:O24)</f>
        <v>4.35597214561036</v>
      </c>
      <c r="P27" s="42" t="n">
        <f aca="false">STDEV(P15:P24)</f>
        <v>0.576562669766899</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67</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143</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144</v>
      </c>
      <c r="C5" s="26"/>
      <c r="D5" s="26"/>
      <c r="E5" s="26"/>
      <c r="F5" s="26"/>
    </row>
    <row r="6" customFormat="false" ht="18" hidden="false" customHeight="true" outlineLevel="0" collapsed="false">
      <c r="A6" s="25" t="s">
        <v>75</v>
      </c>
      <c r="B6" s="26" t="s">
        <v>145</v>
      </c>
      <c r="C6" s="26"/>
      <c r="D6" s="26"/>
      <c r="E6" s="26"/>
      <c r="F6" s="26"/>
    </row>
    <row r="7" customFormat="false" ht="18" hidden="false" customHeight="true" outlineLevel="0" collapsed="false">
      <c r="A7" s="25" t="s">
        <v>77</v>
      </c>
      <c r="B7" s="26" t="s">
        <v>146</v>
      </c>
      <c r="C7" s="26"/>
      <c r="D7" s="26"/>
      <c r="E7" s="26"/>
      <c r="F7" s="26"/>
    </row>
    <row r="8" customFormat="false" ht="18" hidden="false" customHeight="true" outlineLevel="0" collapsed="false">
      <c r="A8" s="25" t="s">
        <v>79</v>
      </c>
      <c r="B8" s="26" t="s">
        <v>147</v>
      </c>
      <c r="C8" s="26"/>
      <c r="D8" s="26"/>
      <c r="E8" s="26"/>
      <c r="F8" s="26"/>
    </row>
    <row r="9" customFormat="false" ht="18" hidden="false" customHeight="true" outlineLevel="0" collapsed="false">
      <c r="A9" s="25" t="s">
        <v>81</v>
      </c>
      <c r="B9" s="26" t="s">
        <v>148</v>
      </c>
      <c r="C9" s="26"/>
      <c r="D9" s="26"/>
      <c r="E9" s="26"/>
      <c r="F9" s="26"/>
    </row>
    <row r="10" customFormat="false" ht="18" hidden="false" customHeight="true" outlineLevel="0" collapsed="false">
      <c r="A10" s="25" t="s">
        <v>83</v>
      </c>
      <c r="B10" s="26" t="s">
        <v>149</v>
      </c>
      <c r="C10" s="26"/>
      <c r="D10" s="26"/>
      <c r="E10" s="26"/>
      <c r="F10" s="26"/>
    </row>
    <row r="11" customFormat="false" ht="15" hidden="false" customHeight="true" outlineLevel="0" collapsed="false">
      <c r="A11" s="25" t="s">
        <v>85</v>
      </c>
      <c r="B11" s="26"/>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Data'!D72</f>
        <v>766</v>
      </c>
      <c r="C15" s="28" t="n">
        <f aca="false">'Raw Data'!E72</f>
        <v>137</v>
      </c>
      <c r="D15" s="28" t="n">
        <f aca="false">'Raw Data'!F72</f>
        <v>44</v>
      </c>
      <c r="E15" s="28" t="n">
        <f aca="false">'Raw Data'!G72+'Raw Data'!H72</f>
        <v>206</v>
      </c>
      <c r="F15" s="28" t="n">
        <f aca="false">'Raw Data'!I72</f>
        <v>352</v>
      </c>
      <c r="G15" s="28" t="n">
        <f aca="false">'Raw Data'!J72</f>
        <v>635</v>
      </c>
      <c r="H15" s="28" t="n">
        <f aca="false">'Raw Data'!K72</f>
        <v>399</v>
      </c>
      <c r="I15" s="29" t="n">
        <f aca="false">F15/E15</f>
        <v>1.70873786407767</v>
      </c>
      <c r="J15" s="30" t="n">
        <f aca="false">D15/E15</f>
        <v>0.213592233009709</v>
      </c>
      <c r="K15" s="30" t="n">
        <f aca="false">D15/G15</f>
        <v>0.0692913385826772</v>
      </c>
      <c r="L15" s="31" t="n">
        <f aca="false">LN(G15)</f>
        <v>6.45362499889269</v>
      </c>
      <c r="M15" s="30" t="n">
        <f aca="false">(B15-'Raw Data'!D71)/'Raw Data'!D71</f>
        <v>0.243506493506494</v>
      </c>
      <c r="N15" s="30" t="n">
        <f aca="false">H15/G15</f>
        <v>0.628346456692913</v>
      </c>
      <c r="O15" s="29" t="n">
        <f aca="false">'Raw Data'!L72</f>
        <v>9.63</v>
      </c>
      <c r="P15" s="29" t="n">
        <f aca="false">'Raw Data'!M72/'Raw Data'!N72</f>
        <v>3.06493506493507</v>
      </c>
    </row>
    <row r="16" customFormat="false" ht="15" hidden="false" customHeight="true" outlineLevel="0" collapsed="false">
      <c r="A16" s="21" t="s">
        <v>100</v>
      </c>
      <c r="B16" s="32" t="n">
        <f aca="false">'Raw Data'!D73</f>
        <v>933</v>
      </c>
      <c r="C16" s="32" t="n">
        <f aca="false">'Raw Data'!E73</f>
        <v>133</v>
      </c>
      <c r="D16" s="32" t="n">
        <f aca="false">'Raw Data'!F73</f>
        <v>57</v>
      </c>
      <c r="E16" s="32" t="n">
        <f aca="false">'Raw Data'!G73+'Raw Data'!H73</f>
        <v>264</v>
      </c>
      <c r="F16" s="32" t="n">
        <f aca="false">'Raw Data'!I73</f>
        <v>568</v>
      </c>
      <c r="G16" s="32" t="n">
        <f aca="false">'Raw Data'!J73</f>
        <v>885</v>
      </c>
      <c r="H16" s="32" t="n">
        <f aca="false">'Raw Data'!K73</f>
        <v>613</v>
      </c>
      <c r="I16" s="33" t="n">
        <f aca="false">F16/E16</f>
        <v>2.15151515151515</v>
      </c>
      <c r="J16" s="34" t="n">
        <f aca="false">D16/E16</f>
        <v>0.215909090909091</v>
      </c>
      <c r="K16" s="34" t="n">
        <f aca="false">D16/G16</f>
        <v>0.064406779661017</v>
      </c>
      <c r="L16" s="35" t="n">
        <f aca="false">LN(G16)</f>
        <v>6.78558764500793</v>
      </c>
      <c r="M16" s="34" t="n">
        <f aca="false">(B16-'Raw Data'!D72)/'Raw Data'!D72</f>
        <v>0.218015665796345</v>
      </c>
      <c r="N16" s="34" t="n">
        <f aca="false">H16/G16</f>
        <v>0.692655367231639</v>
      </c>
      <c r="O16" s="33" t="n">
        <f aca="false">'Raw Data'!L73</f>
        <v>12.51</v>
      </c>
      <c r="P16" s="33" t="n">
        <f aca="false">'Raw Data'!M73/'Raw Data'!N73</f>
        <v>5.13207547169811</v>
      </c>
    </row>
    <row r="17" customFormat="false" ht="15" hidden="false" customHeight="true" outlineLevel="0" collapsed="false">
      <c r="A17" s="18" t="s">
        <v>101</v>
      </c>
      <c r="B17" s="28" t="n">
        <f aca="false">'Raw Data'!D74</f>
        <v>1145</v>
      </c>
      <c r="C17" s="28" t="n">
        <f aca="false">'Raw Data'!E74</f>
        <v>155</v>
      </c>
      <c r="D17" s="28" t="n">
        <f aca="false">'Raw Data'!F74</f>
        <v>52</v>
      </c>
      <c r="E17" s="28" t="n">
        <f aca="false">'Raw Data'!G74+'Raw Data'!H74</f>
        <v>417</v>
      </c>
      <c r="F17" s="28" t="n">
        <f aca="false">'Raw Data'!I74</f>
        <v>449</v>
      </c>
      <c r="G17" s="28" t="n">
        <f aca="false">'Raw Data'!J74</f>
        <v>929</v>
      </c>
      <c r="H17" s="28" t="n">
        <f aca="false">'Raw Data'!K74</f>
        <v>574</v>
      </c>
      <c r="I17" s="29" t="n">
        <f aca="false">F17/E17</f>
        <v>1.07673860911271</v>
      </c>
      <c r="J17" s="30" t="n">
        <f aca="false">D17/E17</f>
        <v>0.124700239808153</v>
      </c>
      <c r="K17" s="30" t="n">
        <f aca="false">D17/G17</f>
        <v>0.0559741657696448</v>
      </c>
      <c r="L17" s="31" t="n">
        <f aca="false">LN(G17)</f>
        <v>6.83410873881384</v>
      </c>
      <c r="M17" s="30" t="n">
        <f aca="false">(B17-'Raw Data'!D73)/'Raw Data'!D73</f>
        <v>0.227224008574491</v>
      </c>
      <c r="N17" s="30" t="n">
        <f aca="false">H17/G17</f>
        <v>0.617868675995694</v>
      </c>
      <c r="O17" s="29" t="n">
        <f aca="false">'Raw Data'!L74</f>
        <v>9.43</v>
      </c>
      <c r="P17" s="29" t="n">
        <f aca="false">'Raw Data'!M74/'Raw Data'!N74</f>
        <v>5.63492063492064</v>
      </c>
    </row>
    <row r="18" customFormat="false" ht="15" hidden="false" customHeight="true" outlineLevel="0" collapsed="false">
      <c r="A18" s="21" t="s">
        <v>102</v>
      </c>
      <c r="B18" s="32" t="n">
        <f aca="false">'Raw Data'!D75</f>
        <v>1241</v>
      </c>
      <c r="C18" s="32" t="n">
        <f aca="false">'Raw Data'!E75</f>
        <v>178</v>
      </c>
      <c r="D18" s="32" t="n">
        <f aca="false">'Raw Data'!F75</f>
        <v>64</v>
      </c>
      <c r="E18" s="32" t="n">
        <f aca="false">'Raw Data'!G75+'Raw Data'!H75</f>
        <v>482</v>
      </c>
      <c r="F18" s="32" t="n">
        <f aca="false">'Raw Data'!I75</f>
        <v>860</v>
      </c>
      <c r="G18" s="32" t="n">
        <f aca="false">'Raw Data'!J75</f>
        <v>1436</v>
      </c>
      <c r="H18" s="32" t="n">
        <f aca="false">'Raw Data'!K75</f>
        <v>992</v>
      </c>
      <c r="I18" s="33" t="n">
        <f aca="false">F18/E18</f>
        <v>1.78423236514523</v>
      </c>
      <c r="J18" s="34" t="n">
        <f aca="false">D18/E18</f>
        <v>0.132780082987552</v>
      </c>
      <c r="K18" s="34" t="n">
        <f aca="false">D18/G18</f>
        <v>0.0445682451253482</v>
      </c>
      <c r="L18" s="35" t="n">
        <f aca="false">LN(G18)</f>
        <v>7.26961674960817</v>
      </c>
      <c r="M18" s="34" t="n">
        <f aca="false">(B18-'Raw Data'!D74)/'Raw Data'!D74</f>
        <v>0.0838427947598253</v>
      </c>
      <c r="N18" s="34" t="n">
        <f aca="false">H18/G18</f>
        <v>0.690807799442897</v>
      </c>
      <c r="O18" s="33" t="n">
        <f aca="false">'Raw Data'!L75</f>
        <v>11.4</v>
      </c>
      <c r="P18" s="33" t="n">
        <f aca="false">'Raw Data'!M75/'Raw Data'!N75</f>
        <v>4.78494623655914</v>
      </c>
    </row>
    <row r="19" customFormat="false" ht="15" hidden="false" customHeight="true" outlineLevel="0" collapsed="false">
      <c r="A19" s="18" t="s">
        <v>103</v>
      </c>
      <c r="B19" s="28" t="n">
        <f aca="false">'Raw Data'!D76</f>
        <v>1436</v>
      </c>
      <c r="C19" s="28" t="n">
        <f aca="false">'Raw Data'!E76</f>
        <v>170</v>
      </c>
      <c r="D19" s="28" t="n">
        <f aca="false">'Raw Data'!F76</f>
        <v>24</v>
      </c>
      <c r="E19" s="28" t="n">
        <f aca="false">'Raw Data'!G76+'Raw Data'!H76</f>
        <v>494</v>
      </c>
      <c r="F19" s="28" t="n">
        <f aca="false">'Raw Data'!I76</f>
        <v>1040</v>
      </c>
      <c r="G19" s="28" t="n">
        <f aca="false">'Raw Data'!J76</f>
        <v>1645</v>
      </c>
      <c r="H19" s="28" t="n">
        <f aca="false">'Raw Data'!K76</f>
        <v>1140</v>
      </c>
      <c r="I19" s="29" t="n">
        <f aca="false">F19/E19</f>
        <v>2.10526315789474</v>
      </c>
      <c r="J19" s="30" t="n">
        <f aca="false">D19/E19</f>
        <v>0.048582995951417</v>
      </c>
      <c r="K19" s="30" t="n">
        <f aca="false">D19/G19</f>
        <v>0.0145896656534954</v>
      </c>
      <c r="L19" s="31" t="n">
        <f aca="false">LN(G19)</f>
        <v>7.40549566319947</v>
      </c>
      <c r="M19" s="30" t="n">
        <f aca="false">(B19-'Raw Data'!D75)/'Raw Data'!D75</f>
        <v>0.157131345688961</v>
      </c>
      <c r="N19" s="30" t="n">
        <f aca="false">H19/G19</f>
        <v>0.693009118541033</v>
      </c>
      <c r="O19" s="29" t="n">
        <f aca="false">'Raw Data'!L76</f>
        <v>4.24</v>
      </c>
      <c r="P19" s="29" t="n">
        <f aca="false">'Raw Data'!M76/'Raw Data'!N76</f>
        <v>4.55855855855856</v>
      </c>
    </row>
    <row r="20" customFormat="false" ht="15" hidden="false" customHeight="true" outlineLevel="0" collapsed="false">
      <c r="A20" s="21" t="s">
        <v>104</v>
      </c>
      <c r="B20" s="32" t="n">
        <f aca="false">'Raw Data'!D77</f>
        <v>1622</v>
      </c>
      <c r="C20" s="32" t="n">
        <f aca="false">'Raw Data'!E77</f>
        <v>257</v>
      </c>
      <c r="D20" s="32" t="n">
        <f aca="false">'Raw Data'!F77</f>
        <v>69</v>
      </c>
      <c r="E20" s="32" t="n">
        <f aca="false">'Raw Data'!G77+'Raw Data'!H77</f>
        <v>563</v>
      </c>
      <c r="F20" s="32" t="n">
        <f aca="false">'Raw Data'!I77</f>
        <v>962</v>
      </c>
      <c r="G20" s="32" t="n">
        <f aca="false">'Raw Data'!J77</f>
        <v>1676</v>
      </c>
      <c r="H20" s="32" t="n">
        <f aca="false">'Raw Data'!K77</f>
        <v>1062</v>
      </c>
      <c r="I20" s="33" t="n">
        <f aca="false">F20/E20</f>
        <v>1.70870337477798</v>
      </c>
      <c r="J20" s="34" t="n">
        <f aca="false">D20/E20</f>
        <v>0.122557726465364</v>
      </c>
      <c r="K20" s="34" t="n">
        <f aca="false">D20/G20</f>
        <v>0.0411694510739857</v>
      </c>
      <c r="L20" s="35" t="n">
        <f aca="false">LN(G20)</f>
        <v>7.42416528104203</v>
      </c>
      <c r="M20" s="34" t="n">
        <f aca="false">(B20-'Raw Data'!D76)/'Raw Data'!D76</f>
        <v>0.129526462395543</v>
      </c>
      <c r="N20" s="34" t="n">
        <f aca="false">H20/G20</f>
        <v>0.633651551312649</v>
      </c>
      <c r="O20" s="33" t="n">
        <f aca="false">'Raw Data'!L77</f>
        <v>12.25</v>
      </c>
      <c r="P20" s="33" t="n">
        <f aca="false">'Raw Data'!M77/'Raw Data'!N77</f>
        <v>4.07284768211921</v>
      </c>
    </row>
    <row r="21" customFormat="false" ht="15" hidden="false" customHeight="true" outlineLevel="0" collapsed="false">
      <c r="A21" s="18" t="s">
        <v>105</v>
      </c>
      <c r="B21" s="28" t="n">
        <f aca="false">'Raw Data'!D78</f>
        <v>2690</v>
      </c>
      <c r="C21" s="28" t="n">
        <f aca="false">'Raw Data'!E78</f>
        <v>652</v>
      </c>
      <c r="D21" s="28" t="n">
        <f aca="false">'Raw Data'!F78</f>
        <v>326</v>
      </c>
      <c r="E21" s="28" t="n">
        <f aca="false">'Raw Data'!G78+'Raw Data'!H78</f>
        <v>876</v>
      </c>
      <c r="F21" s="28" t="n">
        <f aca="false">'Raw Data'!I78</f>
        <v>689</v>
      </c>
      <c r="G21" s="28" t="n">
        <f aca="false">'Raw Data'!J78</f>
        <v>1824</v>
      </c>
      <c r="H21" s="28" t="n">
        <f aca="false">'Raw Data'!K78</f>
        <v>1012</v>
      </c>
      <c r="I21" s="29" t="n">
        <f aca="false">F21/E21</f>
        <v>0.786529680365297</v>
      </c>
      <c r="J21" s="30" t="n">
        <f aca="false">D21/E21</f>
        <v>0.372146118721461</v>
      </c>
      <c r="K21" s="30" t="n">
        <f aca="false">D21/G21</f>
        <v>0.178728070175439</v>
      </c>
      <c r="L21" s="31" t="n">
        <f aca="false">LN(G21)</f>
        <v>7.50878717063428</v>
      </c>
      <c r="M21" s="30" t="n">
        <f aca="false">(B21-'Raw Data'!D77)/'Raw Data'!D77</f>
        <v>0.658446362515413</v>
      </c>
      <c r="N21" s="30" t="n">
        <f aca="false">H21/G21</f>
        <v>0.554824561403509</v>
      </c>
      <c r="O21" s="29" t="n">
        <f aca="false">'Raw Data'!L78</f>
        <v>58.01</v>
      </c>
      <c r="P21" s="29" t="n">
        <f aca="false">'Raw Data'!M78/'Raw Data'!N78</f>
        <v>3.12307692307692</v>
      </c>
    </row>
    <row r="22" customFormat="false" ht="15" hidden="false" customHeight="true" outlineLevel="0" collapsed="false">
      <c r="A22" s="21" t="s">
        <v>106</v>
      </c>
      <c r="B22" s="32" t="n">
        <f aca="false">'Raw Data'!D79</f>
        <v>2404</v>
      </c>
      <c r="C22" s="32" t="n">
        <f aca="false">'Raw Data'!E79</f>
        <v>297</v>
      </c>
      <c r="D22" s="32" t="n">
        <f aca="false">'Raw Data'!F79</f>
        <v>165</v>
      </c>
      <c r="E22" s="32" t="n">
        <f aca="false">'Raw Data'!G79+'Raw Data'!H79</f>
        <v>1029</v>
      </c>
      <c r="F22" s="32" t="n">
        <f aca="false">'Raw Data'!I79</f>
        <v>980</v>
      </c>
      <c r="G22" s="32" t="n">
        <f aca="false">'Raw Data'!J79</f>
        <v>2218</v>
      </c>
      <c r="H22" s="32" t="n">
        <f aca="false">'Raw Data'!K79</f>
        <v>1351</v>
      </c>
      <c r="I22" s="33" t="n">
        <f aca="false">F22/E22</f>
        <v>0.952380952380952</v>
      </c>
      <c r="J22" s="34" t="n">
        <f aca="false">D22/E22</f>
        <v>0.160349854227405</v>
      </c>
      <c r="K22" s="34" t="n">
        <f aca="false">D22/G22</f>
        <v>0.0743913435527502</v>
      </c>
      <c r="L22" s="35" t="n">
        <f aca="false">LN(G22)</f>
        <v>7.70436116791031</v>
      </c>
      <c r="M22" s="34" t="n">
        <f aca="false">(B22-'Raw Data'!D78)/'Raw Data'!D78</f>
        <v>-0.10631970260223</v>
      </c>
      <c r="N22" s="34" t="n">
        <f aca="false">H22/G22</f>
        <v>0.609107303877367</v>
      </c>
      <c r="O22" s="33" t="n">
        <f aca="false">'Raw Data'!L79</f>
        <v>29.32</v>
      </c>
      <c r="P22" s="33" t="n">
        <f aca="false">'Raw Data'!M79/'Raw Data'!N79</f>
        <v>4.14832535885167</v>
      </c>
    </row>
    <row r="23" customFormat="false" ht="15" hidden="false" customHeight="true" outlineLevel="0" collapsed="false">
      <c r="A23" s="18" t="s">
        <v>107</v>
      </c>
      <c r="B23" s="28" t="n">
        <f aca="false">'Raw Data'!D80</f>
        <v>2902</v>
      </c>
      <c r="C23" s="28" t="n">
        <f aca="false">'Raw Data'!E80</f>
        <v>377</v>
      </c>
      <c r="D23" s="28" t="n">
        <f aca="false">'Raw Data'!F80</f>
        <v>132</v>
      </c>
      <c r="E23" s="28" t="n">
        <f aca="false">'Raw Data'!G80+'Raw Data'!H80</f>
        <v>1146</v>
      </c>
      <c r="F23" s="28" t="n">
        <f aca="false">'Raw Data'!I80</f>
        <v>1339</v>
      </c>
      <c r="G23" s="28" t="n">
        <f aca="false">'Raw Data'!J80</f>
        <v>2717</v>
      </c>
      <c r="H23" s="28" t="n">
        <f aca="false">'Raw Data'!K80</f>
        <v>1711</v>
      </c>
      <c r="I23" s="29" t="n">
        <f aca="false">F23/E23</f>
        <v>1.16841186736475</v>
      </c>
      <c r="J23" s="30" t="n">
        <f aca="false">D23/E23</f>
        <v>0.115183246073298</v>
      </c>
      <c r="K23" s="30" t="n">
        <f aca="false">D23/G23</f>
        <v>0.048582995951417</v>
      </c>
      <c r="L23" s="31" t="n">
        <f aca="false">LN(G23)</f>
        <v>7.90728360942635</v>
      </c>
      <c r="M23" s="30" t="n">
        <f aca="false">(B23-'Raw Data'!D79)/'Raw Data'!D79</f>
        <v>0.207154742096506</v>
      </c>
      <c r="N23" s="30" t="n">
        <f aca="false">H23/G23</f>
        <v>0.629738682370261</v>
      </c>
      <c r="O23" s="29" t="n">
        <f aca="false">'Raw Data'!L80</f>
        <v>23.39</v>
      </c>
      <c r="P23" s="29" t="n">
        <f aca="false">'Raw Data'!M80/'Raw Data'!N80</f>
        <v>4.35064935064935</v>
      </c>
    </row>
    <row r="24" customFormat="false" ht="15" hidden="false" customHeight="true" outlineLevel="0" collapsed="false">
      <c r="A24" s="21" t="s">
        <v>108</v>
      </c>
      <c r="B24" s="32" t="n">
        <f aca="false">'Raw Data'!D81</f>
        <v>3300</v>
      </c>
      <c r="C24" s="32" t="n">
        <f aca="false">'Raw Data'!E81</f>
        <v>471</v>
      </c>
      <c r="D24" s="32" t="n">
        <f aca="false">'Raw Data'!F81</f>
        <v>175</v>
      </c>
      <c r="E24" s="32" t="n">
        <f aca="false">'Raw Data'!G81+'Raw Data'!H81</f>
        <v>1311</v>
      </c>
      <c r="F24" s="32" t="n">
        <f aca="false">'Raw Data'!I81</f>
        <v>1165</v>
      </c>
      <c r="G24" s="32" t="n">
        <f aca="false">'Raw Data'!J81</f>
        <v>2732</v>
      </c>
      <c r="H24" s="32" t="n">
        <f aca="false">'Raw Data'!K81</f>
        <v>1584</v>
      </c>
      <c r="I24" s="33" t="n">
        <f aca="false">F24/E24</f>
        <v>0.888634630053394</v>
      </c>
      <c r="J24" s="34" t="n">
        <f aca="false">D24/E24</f>
        <v>0.13348588863463</v>
      </c>
      <c r="K24" s="34" t="n">
        <f aca="false">D24/G24</f>
        <v>0.0640556368960469</v>
      </c>
      <c r="L24" s="35" t="n">
        <f aca="false">LN(G24)</f>
        <v>7.91278922069068</v>
      </c>
      <c r="M24" s="34" t="n">
        <f aca="false">(B24-'Raw Data'!D80)/'Raw Data'!D80</f>
        <v>0.137146795313577</v>
      </c>
      <c r="N24" s="34" t="n">
        <f aca="false">H24/G24</f>
        <v>0.579795021961933</v>
      </c>
      <c r="O24" s="33" t="n">
        <f aca="false">'Raw Data'!L81</f>
        <v>31.2</v>
      </c>
      <c r="P24" s="33" t="n">
        <f aca="false">'Raw Data'!M81/'Raw Data'!N81</f>
        <v>4.484375</v>
      </c>
    </row>
    <row r="25" customFormat="false" ht="15" hidden="false" customHeight="true" outlineLevel="0" collapsed="false">
      <c r="A25" s="36" t="s">
        <v>109</v>
      </c>
      <c r="B25" s="37" t="n">
        <f aca="false">AVERAGE(B15:B24)</f>
        <v>1843.9</v>
      </c>
      <c r="C25" s="37" t="n">
        <f aca="false">AVERAGE(C15:C24)</f>
        <v>282.7</v>
      </c>
      <c r="D25" s="37" t="n">
        <f aca="false">AVERAGE(D15:D24)</f>
        <v>110.8</v>
      </c>
      <c r="E25" s="37" t="n">
        <f aca="false">AVERAGE(E15:E24)</f>
        <v>678.8</v>
      </c>
      <c r="F25" s="37" t="n">
        <f aca="false">AVERAGE(F15:F24)</f>
        <v>840.4</v>
      </c>
      <c r="G25" s="37" t="n">
        <f aca="false">AVERAGE(G15:G24)</f>
        <v>1669.7</v>
      </c>
      <c r="H25" s="37" t="n">
        <f aca="false">AVERAGE(H15:H24)</f>
        <v>1043.8</v>
      </c>
      <c r="I25" s="38" t="n">
        <f aca="false">AVERAGE(I15:I24)</f>
        <v>1.43311476526879</v>
      </c>
      <c r="J25" s="39" t="n">
        <f aca="false">AVERAGE(J15:J24)</f>
        <v>0.163928747678808</v>
      </c>
      <c r="K25" s="39" t="n">
        <f aca="false">AVERAGE(K15:K24)</f>
        <v>0.0655757692441821</v>
      </c>
      <c r="L25" s="40" t="n">
        <f aca="false">AVERAGE(L15:L24)</f>
        <v>7.32058202452258</v>
      </c>
      <c r="M25" s="39" t="n">
        <f aca="false">AVERAGE(M15:M24)</f>
        <v>0.195567496804492</v>
      </c>
      <c r="N25" s="39" t="n">
        <f aca="false">AVERAGE(N15:N24)</f>
        <v>0.63298045388299</v>
      </c>
      <c r="O25" s="38" t="n">
        <f aca="false">AVERAGE(O15:O24)</f>
        <v>20.138</v>
      </c>
      <c r="P25" s="38" t="n">
        <f aca="false">AVERAGE(P15:P24)</f>
        <v>4.33547102813687</v>
      </c>
    </row>
    <row r="27" customFormat="false" ht="15" hidden="false" customHeight="true" outlineLevel="0" collapsed="false">
      <c r="A27" s="41" t="s">
        <v>110</v>
      </c>
      <c r="I27" s="42" t="n">
        <f aca="false">STDEV(I15:I24)</f>
        <v>0.514866843330785</v>
      </c>
      <c r="J27" s="43" t="n">
        <f aca="false">STDEV(J15:J24)</f>
        <v>0.0877900972098055</v>
      </c>
      <c r="K27" s="43" t="n">
        <f aca="false">STDEV(K15:K24)</f>
        <v>0.0433540369515767</v>
      </c>
      <c r="O27" s="42" t="n">
        <f aca="false">STDEV(O15:O24)</f>
        <v>16.0766433754756</v>
      </c>
      <c r="P27" s="42" t="n">
        <f aca="false">STDEV(P15:P24)</f>
        <v>0.801769038978306</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68</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150</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151</v>
      </c>
      <c r="C5" s="26"/>
      <c r="D5" s="26"/>
      <c r="E5" s="26"/>
      <c r="F5" s="26"/>
    </row>
    <row r="6" customFormat="false" ht="18" hidden="false" customHeight="true" outlineLevel="0" collapsed="false">
      <c r="A6" s="25" t="s">
        <v>75</v>
      </c>
      <c r="B6" s="26" t="s">
        <v>152</v>
      </c>
      <c r="C6" s="26"/>
      <c r="D6" s="26"/>
      <c r="E6" s="26"/>
      <c r="F6" s="26"/>
    </row>
    <row r="7" customFormat="false" ht="18" hidden="false" customHeight="true" outlineLevel="0" collapsed="false">
      <c r="A7" s="25" t="s">
        <v>77</v>
      </c>
      <c r="B7" s="26" t="s">
        <v>153</v>
      </c>
      <c r="C7" s="26"/>
      <c r="D7" s="26"/>
      <c r="E7" s="26"/>
      <c r="F7" s="26"/>
    </row>
    <row r="8" customFormat="false" ht="18" hidden="false" customHeight="true" outlineLevel="0" collapsed="false">
      <c r="A8" s="25" t="s">
        <v>79</v>
      </c>
      <c r="B8" s="26" t="s">
        <v>154</v>
      </c>
      <c r="C8" s="26"/>
      <c r="D8" s="26"/>
      <c r="E8" s="26"/>
      <c r="F8" s="26"/>
    </row>
    <row r="9" customFormat="false" ht="18" hidden="false" customHeight="true" outlineLevel="0" collapsed="false">
      <c r="A9" s="25" t="s">
        <v>81</v>
      </c>
      <c r="B9" s="26" t="s">
        <v>155</v>
      </c>
      <c r="C9" s="26"/>
      <c r="D9" s="26"/>
      <c r="E9" s="26"/>
      <c r="F9" s="26"/>
    </row>
    <row r="10" customFormat="false" ht="18" hidden="false" customHeight="true" outlineLevel="0" collapsed="false">
      <c r="A10" s="25" t="s">
        <v>83</v>
      </c>
      <c r="B10" s="26" t="s">
        <v>123</v>
      </c>
      <c r="C10" s="26"/>
      <c r="D10" s="26"/>
      <c r="E10" s="26"/>
      <c r="F10" s="26"/>
    </row>
    <row r="11" customFormat="false" ht="15" hidden="false" customHeight="true" outlineLevel="0" collapsed="false">
      <c r="A11" s="25" t="s">
        <v>85</v>
      </c>
      <c r="B11" s="26"/>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Data'!D83</f>
        <v>2074</v>
      </c>
      <c r="C15" s="28" t="n">
        <f aca="false">'Raw Data'!E83</f>
        <v>263</v>
      </c>
      <c r="D15" s="28" t="n">
        <f aca="false">'Raw Data'!F83</f>
        <v>143</v>
      </c>
      <c r="E15" s="28" t="n">
        <f aca="false">'Raw Data'!G83+'Raw Data'!H83</f>
        <v>683</v>
      </c>
      <c r="F15" s="28" t="n">
        <f aca="false">'Raw Data'!I83</f>
        <v>804</v>
      </c>
      <c r="G15" s="28" t="n">
        <f aca="false">'Raw Data'!J83</f>
        <v>1675</v>
      </c>
      <c r="H15" s="28" t="n">
        <f aca="false">'Raw Data'!K83</f>
        <v>877</v>
      </c>
      <c r="I15" s="29" t="n">
        <f aca="false">F15/E15</f>
        <v>1.17715959004392</v>
      </c>
      <c r="J15" s="30" t="n">
        <f aca="false">D15/E15</f>
        <v>0.209370424597365</v>
      </c>
      <c r="K15" s="30" t="n">
        <f aca="false">D15/G15</f>
        <v>0.0853731343283582</v>
      </c>
      <c r="L15" s="31" t="n">
        <f aca="false">LN(G15)</f>
        <v>7.42356844425917</v>
      </c>
      <c r="M15" s="30" t="n">
        <f aca="false">(B15-'Raw Data'!D82)/'Raw Data'!D82</f>
        <v>0.110873058382432</v>
      </c>
      <c r="N15" s="30" t="n">
        <f aca="false">H15/G15</f>
        <v>0.523582089552239</v>
      </c>
      <c r="O15" s="29" t="n">
        <f aca="false">'Raw Data'!L83</f>
        <v>8.76</v>
      </c>
      <c r="P15" s="29" t="n">
        <f aca="false">'Raw Data'!M83/'Raw Data'!N83</f>
        <v>4.1063829787234</v>
      </c>
    </row>
    <row r="16" customFormat="false" ht="15" hidden="false" customHeight="true" outlineLevel="0" collapsed="false">
      <c r="A16" s="21" t="s">
        <v>100</v>
      </c>
      <c r="B16" s="32" t="n">
        <f aca="false">'Raw Data'!D84</f>
        <v>2249</v>
      </c>
      <c r="C16" s="32" t="n">
        <f aca="false">'Raw Data'!E84</f>
        <v>282</v>
      </c>
      <c r="D16" s="32" t="n">
        <f aca="false">'Raw Data'!F84</f>
        <v>158</v>
      </c>
      <c r="E16" s="32" t="n">
        <f aca="false">'Raw Data'!G84+'Raw Data'!H84</f>
        <v>816</v>
      </c>
      <c r="F16" s="32" t="n">
        <f aca="false">'Raw Data'!I84</f>
        <v>1036</v>
      </c>
      <c r="G16" s="32" t="n">
        <f aca="false">'Raw Data'!J84</f>
        <v>2045</v>
      </c>
      <c r="H16" s="32" t="n">
        <f aca="false">'Raw Data'!K84</f>
        <v>1139</v>
      </c>
      <c r="I16" s="33" t="n">
        <f aca="false">F16/E16</f>
        <v>1.26960784313725</v>
      </c>
      <c r="J16" s="34" t="n">
        <f aca="false">D16/E16</f>
        <v>0.193627450980392</v>
      </c>
      <c r="K16" s="34" t="n">
        <f aca="false">D16/G16</f>
        <v>0.0772616136919316</v>
      </c>
      <c r="L16" s="35" t="n">
        <f aca="false">LN(G16)</f>
        <v>7.6231530684769</v>
      </c>
      <c r="M16" s="34" t="n">
        <f aca="false">(B16-'Raw Data'!D83)/'Raw Data'!D83</f>
        <v>0.0843780135004822</v>
      </c>
      <c r="N16" s="34" t="n">
        <f aca="false">H16/G16</f>
        <v>0.556968215158924</v>
      </c>
      <c r="O16" s="33" t="n">
        <f aca="false">'Raw Data'!L84</f>
        <v>9.64</v>
      </c>
      <c r="P16" s="33" t="n">
        <f aca="false">'Raw Data'!M84/'Raw Data'!N84</f>
        <v>4.5440414507772</v>
      </c>
    </row>
    <row r="17" customFormat="false" ht="15" hidden="false" customHeight="true" outlineLevel="0" collapsed="false">
      <c r="A17" s="18" t="s">
        <v>101</v>
      </c>
      <c r="B17" s="28" t="n">
        <f aca="false">'Raw Data'!D85</f>
        <v>2453</v>
      </c>
      <c r="C17" s="28" t="n">
        <f aca="false">'Raw Data'!E85</f>
        <v>247</v>
      </c>
      <c r="D17" s="28" t="n">
        <f aca="false">'Raw Data'!F85</f>
        <v>113</v>
      </c>
      <c r="E17" s="28" t="n">
        <f aca="false">'Raw Data'!G85+'Raw Data'!H85</f>
        <v>906</v>
      </c>
      <c r="F17" s="28" t="n">
        <f aca="false">'Raw Data'!I85</f>
        <v>1047</v>
      </c>
      <c r="G17" s="28" t="n">
        <f aca="false">'Raw Data'!J85</f>
        <v>2182</v>
      </c>
      <c r="H17" s="28" t="n">
        <f aca="false">'Raw Data'!K85</f>
        <v>1119</v>
      </c>
      <c r="I17" s="29" t="n">
        <f aca="false">F17/E17</f>
        <v>1.15562913907285</v>
      </c>
      <c r="J17" s="30" t="n">
        <f aca="false">D17/E17</f>
        <v>0.124724061810155</v>
      </c>
      <c r="K17" s="30" t="n">
        <f aca="false">D17/G17</f>
        <v>0.0517873510540788</v>
      </c>
      <c r="L17" s="31" t="n">
        <f aca="false">LN(G17)</f>
        <v>7.68799716639302</v>
      </c>
      <c r="M17" s="30" t="n">
        <f aca="false">(B17-'Raw Data'!D84)/'Raw Data'!D84</f>
        <v>0.0907069808803913</v>
      </c>
      <c r="N17" s="30" t="n">
        <f aca="false">H17/G17</f>
        <v>0.512832263978002</v>
      </c>
      <c r="O17" s="29" t="n">
        <f aca="false">'Raw Data'!L85</f>
        <v>6.91</v>
      </c>
      <c r="P17" s="29" t="n">
        <f aca="false">'Raw Data'!M85/'Raw Data'!N85</f>
        <v>4.30263157894737</v>
      </c>
    </row>
    <row r="18" customFormat="false" ht="15" hidden="false" customHeight="true" outlineLevel="0" collapsed="false">
      <c r="A18" s="21" t="s">
        <v>102</v>
      </c>
      <c r="B18" s="32" t="n">
        <f aca="false">'Raw Data'!D86</f>
        <v>2562</v>
      </c>
      <c r="C18" s="32" t="n">
        <f aca="false">'Raw Data'!E86</f>
        <v>219</v>
      </c>
      <c r="D18" s="32" t="n">
        <f aca="false">'Raw Data'!F86</f>
        <v>66</v>
      </c>
      <c r="E18" s="32" t="n">
        <f aca="false">'Raw Data'!G86+'Raw Data'!H86</f>
        <v>946</v>
      </c>
      <c r="F18" s="32" t="n">
        <f aca="false">'Raw Data'!I86</f>
        <v>923</v>
      </c>
      <c r="G18" s="32" t="n">
        <f aca="false">'Raw Data'!J86</f>
        <v>2131</v>
      </c>
      <c r="H18" s="32" t="n">
        <f aca="false">'Raw Data'!K86</f>
        <v>1074</v>
      </c>
      <c r="I18" s="33" t="n">
        <f aca="false">F18/E18</f>
        <v>0.97568710359408</v>
      </c>
      <c r="J18" s="34" t="n">
        <f aca="false">D18/E18</f>
        <v>0.0697674418604651</v>
      </c>
      <c r="K18" s="34" t="n">
        <f aca="false">D18/G18</f>
        <v>0.0309713749413421</v>
      </c>
      <c r="L18" s="35" t="n">
        <f aca="false">LN(G18)</f>
        <v>7.66434663209862</v>
      </c>
      <c r="M18" s="34" t="n">
        <f aca="false">(B18-'Raw Data'!D85)/'Raw Data'!D85</f>
        <v>0.0444353852425601</v>
      </c>
      <c r="N18" s="34" t="n">
        <f aca="false">H18/G18</f>
        <v>0.50398873768184</v>
      </c>
      <c r="O18" s="33" t="n">
        <f aca="false">'Raw Data'!L86</f>
        <v>4.01</v>
      </c>
      <c r="P18" s="33" t="n">
        <f aca="false">'Raw Data'!M86/'Raw Data'!N86</f>
        <v>3.82758620689655</v>
      </c>
    </row>
    <row r="19" customFormat="false" ht="15" hidden="false" customHeight="true" outlineLevel="0" collapsed="false">
      <c r="A19" s="18" t="s">
        <v>103</v>
      </c>
      <c r="B19" s="28" t="n">
        <f aca="false">'Raw Data'!D87</f>
        <v>2379</v>
      </c>
      <c r="C19" s="28" t="n">
        <f aca="false">'Raw Data'!E87</f>
        <v>178</v>
      </c>
      <c r="D19" s="28" t="n">
        <f aca="false">'Raw Data'!F87</f>
        <v>36</v>
      </c>
      <c r="E19" s="28" t="n">
        <f aca="false">'Raw Data'!G87+'Raw Data'!H87</f>
        <v>971</v>
      </c>
      <c r="F19" s="28" t="n">
        <f aca="false">'Raw Data'!I87</f>
        <v>868</v>
      </c>
      <c r="G19" s="28" t="n">
        <f aca="false">'Raw Data'!J87</f>
        <v>2118</v>
      </c>
      <c r="H19" s="28" t="n">
        <f aca="false">'Raw Data'!K87</f>
        <v>1210</v>
      </c>
      <c r="I19" s="29" t="n">
        <f aca="false">F19/E19</f>
        <v>0.893923789907312</v>
      </c>
      <c r="J19" s="30" t="n">
        <f aca="false">D19/E19</f>
        <v>0.0370751802265705</v>
      </c>
      <c r="K19" s="30" t="n">
        <f aca="false">D19/G19</f>
        <v>0.0169971671388102</v>
      </c>
      <c r="L19" s="31" t="n">
        <f aca="false">LN(G19)</f>
        <v>7.65822752616135</v>
      </c>
      <c r="M19" s="30" t="n">
        <f aca="false">(B19-'Raw Data'!D86)/'Raw Data'!D86</f>
        <v>-0.0714285714285714</v>
      </c>
      <c r="N19" s="30" t="n">
        <f aca="false">H19/G19</f>
        <v>0.571293673276676</v>
      </c>
      <c r="O19" s="29" t="n">
        <f aca="false">'Raw Data'!L87</f>
        <v>2.2</v>
      </c>
      <c r="P19" s="29" t="n">
        <f aca="false">'Raw Data'!M87/'Raw Data'!N87</f>
        <v>3.13620071684588</v>
      </c>
    </row>
    <row r="20" customFormat="false" ht="15" hidden="false" customHeight="true" outlineLevel="0" collapsed="false">
      <c r="A20" s="21" t="s">
        <v>104</v>
      </c>
      <c r="B20" s="32" t="n">
        <f aca="false">'Raw Data'!D88</f>
        <v>1861</v>
      </c>
      <c r="C20" s="32" t="n">
        <f aca="false">'Raw Data'!E88</f>
        <v>115</v>
      </c>
      <c r="D20" s="32" t="n">
        <f aca="false">'Raw Data'!F88</f>
        <v>10</v>
      </c>
      <c r="E20" s="32" t="n">
        <f aca="false">'Raw Data'!G88+'Raw Data'!H88</f>
        <v>980</v>
      </c>
      <c r="F20" s="32" t="n">
        <f aca="false">'Raw Data'!I88</f>
        <v>901</v>
      </c>
      <c r="G20" s="32" t="n">
        <f aca="false">'Raw Data'!J88</f>
        <v>2149</v>
      </c>
      <c r="H20" s="32" t="n">
        <f aca="false">'Raw Data'!K88</f>
        <v>1231</v>
      </c>
      <c r="I20" s="33" t="n">
        <f aca="false">F20/E20</f>
        <v>0.919387755102041</v>
      </c>
      <c r="J20" s="34" t="n">
        <f aca="false">D20/E20</f>
        <v>0.0102040816326531</v>
      </c>
      <c r="K20" s="34" t="n">
        <f aca="false">D20/G20</f>
        <v>0.00465332712889716</v>
      </c>
      <c r="L20" s="35" t="n">
        <f aca="false">LN(G20)</f>
        <v>7.67275789664251</v>
      </c>
      <c r="M20" s="34" t="n">
        <f aca="false">(B20-'Raw Data'!D87)/'Raw Data'!D87</f>
        <v>-0.217738545607398</v>
      </c>
      <c r="N20" s="34" t="n">
        <f aca="false">H20/G20</f>
        <v>0.572824569567241</v>
      </c>
      <c r="O20" s="33" t="n">
        <f aca="false">'Raw Data'!L88</f>
        <v>0.58</v>
      </c>
      <c r="P20" s="33" t="n">
        <f aca="false">'Raw Data'!M88/'Raw Data'!N88</f>
        <v>3.27611940298507</v>
      </c>
    </row>
    <row r="21" customFormat="false" ht="15" hidden="false" customHeight="true" outlineLevel="0" collapsed="false">
      <c r="A21" s="18" t="s">
        <v>105</v>
      </c>
      <c r="B21" s="28" t="n">
        <f aca="false">'Raw Data'!D89</f>
        <v>3042</v>
      </c>
      <c r="C21" s="28" t="n">
        <f aca="false">'Raw Data'!E89</f>
        <v>387</v>
      </c>
      <c r="D21" s="28" t="n">
        <f aca="false">'Raw Data'!F89</f>
        <v>156</v>
      </c>
      <c r="E21" s="28" t="n">
        <f aca="false">'Raw Data'!G89+'Raw Data'!H89</f>
        <v>1130</v>
      </c>
      <c r="F21" s="28" t="n">
        <f aca="false">'Raw Data'!I89</f>
        <v>938</v>
      </c>
      <c r="G21" s="28" t="n">
        <f aca="false">'Raw Data'!J89</f>
        <v>2442</v>
      </c>
      <c r="H21" s="28" t="n">
        <f aca="false">'Raw Data'!K89</f>
        <v>1187</v>
      </c>
      <c r="I21" s="29" t="n">
        <f aca="false">F21/E21</f>
        <v>0.830088495575221</v>
      </c>
      <c r="J21" s="30" t="n">
        <f aca="false">D21/E21</f>
        <v>0.138053097345133</v>
      </c>
      <c r="K21" s="30" t="n">
        <f aca="false">D21/G21</f>
        <v>0.0638820638820639</v>
      </c>
      <c r="L21" s="31" t="n">
        <f aca="false">LN(G21)</f>
        <v>7.80057265467065</v>
      </c>
      <c r="M21" s="30" t="n">
        <f aca="false">(B21-'Raw Data'!D88)/'Raw Data'!D88</f>
        <v>0.634605051047824</v>
      </c>
      <c r="N21" s="30" t="n">
        <f aca="false">H21/G21</f>
        <v>0.486076986076986</v>
      </c>
      <c r="O21" s="29" t="n">
        <f aca="false">'Raw Data'!L89</f>
        <v>9.5</v>
      </c>
      <c r="P21" s="29" t="n">
        <f aca="false">'Raw Data'!M89/'Raw Data'!N89</f>
        <v>3.21122994652406</v>
      </c>
    </row>
    <row r="22" customFormat="false" ht="15" hidden="false" customHeight="true" outlineLevel="0" collapsed="false">
      <c r="A22" s="21" t="s">
        <v>106</v>
      </c>
      <c r="B22" s="32" t="n">
        <f aca="false">'Raw Data'!D90</f>
        <v>3039</v>
      </c>
      <c r="C22" s="32" t="n">
        <f aca="false">'Raw Data'!E90</f>
        <v>264</v>
      </c>
      <c r="D22" s="32" t="n">
        <f aca="false">'Raw Data'!F90</f>
        <v>23</v>
      </c>
      <c r="E22" s="32" t="n">
        <f aca="false">'Raw Data'!G90+'Raw Data'!H90</f>
        <v>1123</v>
      </c>
      <c r="F22" s="32" t="n">
        <f aca="false">'Raw Data'!I90</f>
        <v>933</v>
      </c>
      <c r="G22" s="32" t="n">
        <f aca="false">'Raw Data'!J90</f>
        <v>2421</v>
      </c>
      <c r="H22" s="32" t="n">
        <f aca="false">'Raw Data'!K90</f>
        <v>1121</v>
      </c>
      <c r="I22" s="33" t="n">
        <f aca="false">F22/E22</f>
        <v>0.830810329474622</v>
      </c>
      <c r="J22" s="34" t="n">
        <f aca="false">D22/E22</f>
        <v>0.0204808548530721</v>
      </c>
      <c r="K22" s="34" t="n">
        <f aca="false">D22/G22</f>
        <v>0.00950020652622883</v>
      </c>
      <c r="L22" s="35" t="n">
        <f aca="false">LN(G22)</f>
        <v>7.79193595693806</v>
      </c>
      <c r="M22" s="34" t="n">
        <f aca="false">(B22-'Raw Data'!D89)/'Raw Data'!D89</f>
        <v>-0.000986193293885602</v>
      </c>
      <c r="N22" s="34" t="n">
        <f aca="false">H22/G22</f>
        <v>0.46303180503924</v>
      </c>
      <c r="O22" s="33" t="n">
        <f aca="false">'Raw Data'!L90</f>
        <v>1.39</v>
      </c>
      <c r="P22" s="33" t="n">
        <f aca="false">'Raw Data'!M90/'Raw Data'!N90</f>
        <v>3.5</v>
      </c>
    </row>
    <row r="23" customFormat="false" ht="15" hidden="false" customHeight="true" outlineLevel="0" collapsed="false">
      <c r="A23" s="18" t="s">
        <v>107</v>
      </c>
      <c r="B23" s="28" t="n">
        <f aca="false">'Raw Data'!D91</f>
        <v>2672</v>
      </c>
      <c r="C23" s="28" t="n">
        <f aca="false">'Raw Data'!E91</f>
        <v>-29</v>
      </c>
      <c r="D23" s="28" t="n">
        <f aca="false">'Raw Data'!F91</f>
        <v>-135</v>
      </c>
      <c r="E23" s="28" t="n">
        <f aca="false">'Raw Data'!G91+'Raw Data'!H91</f>
        <v>976</v>
      </c>
      <c r="F23" s="28" t="n">
        <f aca="false">'Raw Data'!I91</f>
        <v>826</v>
      </c>
      <c r="G23" s="28" t="n">
        <f aca="false">'Raw Data'!J91</f>
        <v>2097</v>
      </c>
      <c r="H23" s="28" t="n">
        <f aca="false">'Raw Data'!K91</f>
        <v>1063</v>
      </c>
      <c r="I23" s="29" t="n">
        <f aca="false">F23/E23</f>
        <v>0.846311475409836</v>
      </c>
      <c r="J23" s="30" t="n">
        <f aca="false">D23/E23</f>
        <v>-0.138319672131148</v>
      </c>
      <c r="K23" s="30" t="n">
        <f aca="false">D23/G23</f>
        <v>-0.0643776824034335</v>
      </c>
      <c r="L23" s="31" t="n">
        <f aca="false">LN(G23)</f>
        <v>7.64826303090192</v>
      </c>
      <c r="M23" s="30" t="n">
        <f aca="false">(B23-'Raw Data'!D90)/'Raw Data'!D90</f>
        <v>-0.120763409016124</v>
      </c>
      <c r="N23" s="30" t="n">
        <f aca="false">H23/G23</f>
        <v>0.50691463996185</v>
      </c>
      <c r="O23" s="29" t="n">
        <f aca="false">'Raw Data'!L91</f>
        <v>-8.22</v>
      </c>
      <c r="P23" s="29" t="n">
        <f aca="false">'Raw Data'!M91/'Raw Data'!N91</f>
        <v>3.45762711864407</v>
      </c>
    </row>
    <row r="24" customFormat="false" ht="15" hidden="false" customHeight="true" outlineLevel="0" collapsed="false">
      <c r="A24" s="21" t="s">
        <v>108</v>
      </c>
      <c r="B24" s="32" t="n">
        <f aca="false">'Raw Data'!D92</f>
        <v>2642</v>
      </c>
      <c r="C24" s="32" t="n">
        <f aca="false">'Raw Data'!E92</f>
        <v>46</v>
      </c>
      <c r="D24" s="32" t="n">
        <f aca="false">'Raw Data'!F92</f>
        <v>-84</v>
      </c>
      <c r="E24" s="32" t="n">
        <f aca="false">'Raw Data'!G92+'Raw Data'!H92</f>
        <v>894</v>
      </c>
      <c r="F24" s="32" t="n">
        <f aca="false">'Raw Data'!I92</f>
        <v>877</v>
      </c>
      <c r="G24" s="32" t="n">
        <f aca="false">'Raw Data'!J92</f>
        <v>2043</v>
      </c>
      <c r="H24" s="32" t="n">
        <f aca="false">'Raw Data'!K92</f>
        <v>1010</v>
      </c>
      <c r="I24" s="33" t="n">
        <f aca="false">F24/E24</f>
        <v>0.980984340044743</v>
      </c>
      <c r="J24" s="34" t="n">
        <f aca="false">D24/E24</f>
        <v>-0.0939597315436242</v>
      </c>
      <c r="K24" s="34" t="n">
        <f aca="false">D24/G24</f>
        <v>-0.0411160058737151</v>
      </c>
      <c r="L24" s="35" t="n">
        <f aca="false">LN(G24)</f>
        <v>7.62217459481762</v>
      </c>
      <c r="M24" s="34" t="n">
        <f aca="false">(B24-'Raw Data'!D91)/'Raw Data'!D91</f>
        <v>-0.0112275449101796</v>
      </c>
      <c r="N24" s="34" t="n">
        <f aca="false">H24/G24</f>
        <v>0.494371023005384</v>
      </c>
      <c r="O24" s="33" t="n">
        <f aca="false">'Raw Data'!L92</f>
        <v>-5.14</v>
      </c>
      <c r="P24" s="33" t="n">
        <f aca="false">'Raw Data'!M92/'Raw Data'!N92</f>
        <v>3.70695970695971</v>
      </c>
    </row>
    <row r="25" customFormat="false" ht="15" hidden="false" customHeight="true" outlineLevel="0" collapsed="false">
      <c r="A25" s="36" t="s">
        <v>109</v>
      </c>
      <c r="B25" s="37" t="n">
        <f aca="false">AVERAGE(B15:B24)</f>
        <v>2497.3</v>
      </c>
      <c r="C25" s="37" t="n">
        <f aca="false">AVERAGE(C15:C24)</f>
        <v>197.2</v>
      </c>
      <c r="D25" s="37" t="n">
        <f aca="false">AVERAGE(D15:D24)</f>
        <v>48.6</v>
      </c>
      <c r="E25" s="37" t="n">
        <f aca="false">AVERAGE(E15:E24)</f>
        <v>942.5</v>
      </c>
      <c r="F25" s="37" t="n">
        <f aca="false">AVERAGE(F15:F24)</f>
        <v>915.3</v>
      </c>
      <c r="G25" s="37" t="n">
        <f aca="false">AVERAGE(G15:G24)</f>
        <v>2130.3</v>
      </c>
      <c r="H25" s="37" t="n">
        <f aca="false">AVERAGE(H15:H24)</f>
        <v>1103.1</v>
      </c>
      <c r="I25" s="38" t="n">
        <f aca="false">AVERAGE(I15:I24)</f>
        <v>0.987958986136188</v>
      </c>
      <c r="J25" s="39" t="n">
        <f aca="false">AVERAGE(J15:J24)</f>
        <v>0.0571023189631033</v>
      </c>
      <c r="K25" s="39" t="n">
        <f aca="false">AVERAGE(K15:K24)</f>
        <v>0.0234932550414562</v>
      </c>
      <c r="L25" s="40" t="n">
        <f aca="false">AVERAGE(L15:L24)</f>
        <v>7.65929969713598</v>
      </c>
      <c r="M25" s="39" t="n">
        <f aca="false">AVERAGE(M15:M24)</f>
        <v>0.0542854224797531</v>
      </c>
      <c r="N25" s="39" t="n">
        <f aca="false">AVERAGE(N15:N24)</f>
        <v>0.519188400329838</v>
      </c>
      <c r="O25" s="38" t="n">
        <f aca="false">AVERAGE(O15:O24)</f>
        <v>2.963</v>
      </c>
      <c r="P25" s="38" t="n">
        <f aca="false">AVERAGE(P15:P24)</f>
        <v>3.70687791073033</v>
      </c>
    </row>
    <row r="27" customFormat="false" ht="15" hidden="false" customHeight="true" outlineLevel="0" collapsed="false">
      <c r="A27" s="41" t="s">
        <v>110</v>
      </c>
      <c r="I27" s="42" t="n">
        <f aca="false">STDEV(I15:I24)</f>
        <v>0.158697095602807</v>
      </c>
      <c r="J27" s="43" t="n">
        <f aca="false">STDEV(J15:J24)</f>
        <v>0.114533829025361</v>
      </c>
      <c r="K27" s="43" t="n">
        <f aca="false">STDEV(K15:K24)</f>
        <v>0.0490991011124855</v>
      </c>
      <c r="O27" s="42" t="n">
        <f aca="false">STDEV(O15:O24)</f>
        <v>6.11962426224937</v>
      </c>
      <c r="P27" s="42" t="n">
        <f aca="false">STDEV(P15:P24)</f>
        <v>0.482096890690881</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69</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156</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157</v>
      </c>
      <c r="C5" s="26"/>
      <c r="D5" s="26"/>
      <c r="E5" s="26"/>
      <c r="F5" s="26"/>
    </row>
    <row r="6" customFormat="false" ht="18" hidden="false" customHeight="true" outlineLevel="0" collapsed="false">
      <c r="A6" s="25" t="s">
        <v>75</v>
      </c>
      <c r="B6" s="26" t="s">
        <v>158</v>
      </c>
      <c r="C6" s="26"/>
      <c r="D6" s="26"/>
      <c r="E6" s="26"/>
      <c r="F6" s="26"/>
    </row>
    <row r="7" customFormat="false" ht="18" hidden="false" customHeight="true" outlineLevel="0" collapsed="false">
      <c r="A7" s="25" t="s">
        <v>77</v>
      </c>
      <c r="B7" s="26" t="s">
        <v>159</v>
      </c>
      <c r="C7" s="26"/>
      <c r="D7" s="26"/>
      <c r="E7" s="26"/>
      <c r="F7" s="26"/>
    </row>
    <row r="8" customFormat="false" ht="18" hidden="false" customHeight="true" outlineLevel="0" collapsed="false">
      <c r="A8" s="25" t="s">
        <v>79</v>
      </c>
      <c r="B8" s="26" t="s">
        <v>160</v>
      </c>
      <c r="C8" s="26"/>
      <c r="D8" s="26"/>
      <c r="E8" s="26"/>
      <c r="F8" s="26"/>
    </row>
    <row r="9" customFormat="false" ht="18" hidden="false" customHeight="true" outlineLevel="0" collapsed="false">
      <c r="A9" s="25" t="s">
        <v>81</v>
      </c>
      <c r="B9" s="26" t="s">
        <v>161</v>
      </c>
      <c r="C9" s="26"/>
      <c r="D9" s="26"/>
      <c r="E9" s="26"/>
      <c r="F9" s="26"/>
    </row>
    <row r="10" customFormat="false" ht="18" hidden="false" customHeight="true" outlineLevel="0" collapsed="false">
      <c r="A10" s="25" t="s">
        <v>83</v>
      </c>
      <c r="B10" s="26" t="s">
        <v>123</v>
      </c>
      <c r="C10" s="26"/>
      <c r="D10" s="26"/>
      <c r="E10" s="26"/>
      <c r="F10" s="26"/>
    </row>
    <row r="11" customFormat="false" ht="15" hidden="false" customHeight="true" outlineLevel="0" collapsed="false">
      <c r="A11" s="25" t="s">
        <v>85</v>
      </c>
      <c r="B11" s="26"/>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Data'!D94</f>
        <v>1123</v>
      </c>
      <c r="C15" s="28" t="n">
        <f aca="false">'Raw Data'!E94</f>
        <v>37</v>
      </c>
      <c r="D15" s="28" t="n">
        <f aca="false">'Raw Data'!F94</f>
        <v>61</v>
      </c>
      <c r="E15" s="28" t="n">
        <f aca="false">'Raw Data'!G94+'Raw Data'!H94</f>
        <v>212</v>
      </c>
      <c r="F15" s="28" t="n">
        <f aca="false">'Raw Data'!I94</f>
        <v>343</v>
      </c>
      <c r="G15" s="28" t="n">
        <f aca="false">'Raw Data'!J94</f>
        <v>725</v>
      </c>
      <c r="H15" s="28" t="n">
        <f aca="false">'Raw Data'!K94</f>
        <v>94</v>
      </c>
      <c r="I15" s="29" t="n">
        <f aca="false">F15/E15</f>
        <v>1.61792452830189</v>
      </c>
      <c r="J15" s="30" t="n">
        <f aca="false">D15/E15</f>
        <v>0.287735849056604</v>
      </c>
      <c r="K15" s="30" t="n">
        <f aca="false">D15/G15</f>
        <v>0.0841379310344828</v>
      </c>
      <c r="L15" s="31" t="n">
        <f aca="false">LN(G15)</f>
        <v>6.58617165485468</v>
      </c>
      <c r="M15" s="30" t="n">
        <f aca="false">(B15-'Raw Data'!D93)/'Raw Data'!D93</f>
        <v>0.0495327102803738</v>
      </c>
      <c r="N15" s="30" t="n">
        <f aca="false">H15/G15</f>
        <v>0.129655172413793</v>
      </c>
      <c r="O15" s="29" t="n">
        <f aca="false">'Raw Data'!L94</f>
        <v>17.44</v>
      </c>
      <c r="P15" s="29" t="n">
        <f aca="false">'Raw Data'!M94/'Raw Data'!N94</f>
        <v>3.58333333333333</v>
      </c>
    </row>
    <row r="16" customFormat="false" ht="15" hidden="false" customHeight="true" outlineLevel="0" collapsed="false">
      <c r="A16" s="21" t="s">
        <v>100</v>
      </c>
      <c r="B16" s="32" t="n">
        <f aca="false">'Raw Data'!D95</f>
        <v>915</v>
      </c>
      <c r="C16" s="32" t="n">
        <f aca="false">'Raw Data'!E95</f>
        <v>-31</v>
      </c>
      <c r="D16" s="32" t="n">
        <f aca="false">'Raw Data'!F95</f>
        <v>-46</v>
      </c>
      <c r="E16" s="32" t="n">
        <f aca="false">'Raw Data'!G95+'Raw Data'!H95</f>
        <v>165</v>
      </c>
      <c r="F16" s="32" t="n">
        <f aca="false">'Raw Data'!I95</f>
        <v>474</v>
      </c>
      <c r="G16" s="32" t="n">
        <f aca="false">'Raw Data'!J95</f>
        <v>794</v>
      </c>
      <c r="H16" s="32" t="n">
        <f aca="false">'Raw Data'!K95</f>
        <v>95</v>
      </c>
      <c r="I16" s="33" t="n">
        <f aca="false">F16/E16</f>
        <v>2.87272727272727</v>
      </c>
      <c r="J16" s="34" t="n">
        <f aca="false">D16/E16</f>
        <v>-0.278787878787879</v>
      </c>
      <c r="K16" s="34" t="n">
        <f aca="false">D16/G16</f>
        <v>-0.0579345088161209</v>
      </c>
      <c r="L16" s="35" t="n">
        <f aca="false">LN(G16)</f>
        <v>6.67708346124714</v>
      </c>
      <c r="M16" s="34" t="n">
        <f aca="false">(B16-'Raw Data'!D94)/'Raw Data'!D94</f>
        <v>-0.185218165627783</v>
      </c>
      <c r="N16" s="34" t="n">
        <f aca="false">H16/G16</f>
        <v>0.119647355163728</v>
      </c>
      <c r="O16" s="33" t="n">
        <f aca="false">'Raw Data'!L95</f>
        <v>-13.23</v>
      </c>
      <c r="P16" s="33" t="n">
        <f aca="false">'Raw Data'!M95/'Raw Data'!N95</f>
        <v>4.35714285714286</v>
      </c>
    </row>
    <row r="17" customFormat="false" ht="15" hidden="false" customHeight="true" outlineLevel="0" collapsed="false">
      <c r="A17" s="18" t="s">
        <v>101</v>
      </c>
      <c r="B17" s="28" t="n">
        <f aca="false">'Raw Data'!D96</f>
        <v>1031</v>
      </c>
      <c r="C17" s="28" t="n">
        <f aca="false">'Raw Data'!E96</f>
        <v>-23</v>
      </c>
      <c r="D17" s="28" t="n">
        <f aca="false">'Raw Data'!F96</f>
        <v>-31</v>
      </c>
      <c r="E17" s="28" t="n">
        <f aca="false">'Raw Data'!G96+'Raw Data'!H96</f>
        <v>130</v>
      </c>
      <c r="F17" s="28" t="n">
        <f aca="false">'Raw Data'!I96</f>
        <v>472</v>
      </c>
      <c r="G17" s="28" t="n">
        <f aca="false">'Raw Data'!J96</f>
        <v>794</v>
      </c>
      <c r="H17" s="28" t="n">
        <f aca="false">'Raw Data'!K96</f>
        <v>95</v>
      </c>
      <c r="I17" s="29" t="n">
        <f aca="false">F17/E17</f>
        <v>3.63076923076923</v>
      </c>
      <c r="J17" s="30" t="n">
        <f aca="false">D17/E17</f>
        <v>-0.238461538461538</v>
      </c>
      <c r="K17" s="30" t="n">
        <f aca="false">D17/G17</f>
        <v>-0.0390428211586902</v>
      </c>
      <c r="L17" s="31" t="n">
        <f aca="false">LN(G17)</f>
        <v>6.67708346124714</v>
      </c>
      <c r="M17" s="30" t="n">
        <f aca="false">(B17-'Raw Data'!D95)/'Raw Data'!D95</f>
        <v>0.126775956284153</v>
      </c>
      <c r="N17" s="30" t="n">
        <f aca="false">H17/G17</f>
        <v>0.119647355163728</v>
      </c>
      <c r="O17" s="29" t="n">
        <f aca="false">'Raw Data'!L96</f>
        <v>-8.83</v>
      </c>
      <c r="P17" s="29" t="n">
        <f aca="false">'Raw Data'!M96/'Raw Data'!N96</f>
        <v>3.53645833333333</v>
      </c>
    </row>
    <row r="18" customFormat="false" ht="15" hidden="false" customHeight="true" outlineLevel="0" collapsed="false">
      <c r="A18" s="21" t="s">
        <v>102</v>
      </c>
      <c r="B18" s="32" t="n">
        <f aca="false">'Raw Data'!D97</f>
        <v>1173</v>
      </c>
      <c r="C18" s="32" t="n">
        <f aca="false">'Raw Data'!E97</f>
        <v>62</v>
      </c>
      <c r="D18" s="32" t="n">
        <f aca="false">'Raw Data'!F97</f>
        <v>26</v>
      </c>
      <c r="E18" s="32" t="n">
        <f aca="false">'Raw Data'!G97+'Raw Data'!H97</f>
        <v>239</v>
      </c>
      <c r="F18" s="32" t="n">
        <f aca="false">'Raw Data'!I97</f>
        <v>381</v>
      </c>
      <c r="G18" s="32" t="n">
        <f aca="false">'Raw Data'!J97</f>
        <v>823</v>
      </c>
      <c r="H18" s="32" t="n">
        <f aca="false">'Raw Data'!K97</f>
        <v>108</v>
      </c>
      <c r="I18" s="33" t="n">
        <f aca="false">F18/E18</f>
        <v>1.59414225941423</v>
      </c>
      <c r="J18" s="34" t="n">
        <f aca="false">D18/E18</f>
        <v>0.108786610878661</v>
      </c>
      <c r="K18" s="34" t="n">
        <f aca="false">D18/G18</f>
        <v>0.031591737545565</v>
      </c>
      <c r="L18" s="35" t="n">
        <f aca="false">LN(G18)</f>
        <v>6.71295620067707</v>
      </c>
      <c r="M18" s="34" t="n">
        <f aca="false">(B18-'Raw Data'!D96)/'Raw Data'!D96</f>
        <v>0.137730358874879</v>
      </c>
      <c r="N18" s="34" t="n">
        <f aca="false">H18/G18</f>
        <v>0.131227217496962</v>
      </c>
      <c r="O18" s="33" t="n">
        <f aca="false">'Raw Data'!L97</f>
        <v>5.99</v>
      </c>
      <c r="P18" s="33" t="n">
        <f aca="false">'Raw Data'!M97/'Raw Data'!N97</f>
        <v>3.43564356435644</v>
      </c>
    </row>
    <row r="19" customFormat="false" ht="15" hidden="false" customHeight="true" outlineLevel="0" collapsed="false">
      <c r="A19" s="18" t="s">
        <v>103</v>
      </c>
      <c r="B19" s="28" t="n">
        <f aca="false">'Raw Data'!D98</f>
        <v>1368</v>
      </c>
      <c r="C19" s="28" t="n">
        <f aca="false">'Raw Data'!E98</f>
        <v>87</v>
      </c>
      <c r="D19" s="28" t="n">
        <f aca="false">'Raw Data'!F98</f>
        <v>32</v>
      </c>
      <c r="E19" s="28" t="n">
        <f aca="false">'Raw Data'!G98+'Raw Data'!H98</f>
        <v>228</v>
      </c>
      <c r="F19" s="28" t="n">
        <f aca="false">'Raw Data'!I98</f>
        <v>440</v>
      </c>
      <c r="G19" s="28" t="n">
        <f aca="false">'Raw Data'!J98</f>
        <v>939</v>
      </c>
      <c r="H19" s="28" t="n">
        <f aca="false">'Raw Data'!K98</f>
        <v>172</v>
      </c>
      <c r="I19" s="29" t="n">
        <f aca="false">F19/E19</f>
        <v>1.92982456140351</v>
      </c>
      <c r="J19" s="30" t="n">
        <f aca="false">D19/E19</f>
        <v>0.140350877192982</v>
      </c>
      <c r="K19" s="30" t="n">
        <f aca="false">D19/G19</f>
        <v>0.0340788072417465</v>
      </c>
      <c r="L19" s="31" t="n">
        <f aca="false">LN(G19)</f>
        <v>6.84481547920826</v>
      </c>
      <c r="M19" s="30" t="n">
        <f aca="false">(B19-'Raw Data'!D97)/'Raw Data'!D97</f>
        <v>0.166240409207161</v>
      </c>
      <c r="N19" s="30" t="n">
        <f aca="false">H19/G19</f>
        <v>0.183173588924388</v>
      </c>
      <c r="O19" s="29" t="n">
        <f aca="false">'Raw Data'!L98</f>
        <v>7.56</v>
      </c>
      <c r="P19" s="29" t="n">
        <f aca="false">'Raw Data'!M98/'Raw Data'!N98</f>
        <v>2.62730627306273</v>
      </c>
    </row>
    <row r="20" customFormat="false" ht="15" hidden="false" customHeight="true" outlineLevel="0" collapsed="false">
      <c r="A20" s="21" t="s">
        <v>104</v>
      </c>
      <c r="B20" s="32" t="n">
        <f aca="false">'Raw Data'!D99</f>
        <v>1209</v>
      </c>
      <c r="C20" s="32" t="n">
        <f aca="false">'Raw Data'!E99</f>
        <v>101</v>
      </c>
      <c r="D20" s="32" t="n">
        <f aca="false">'Raw Data'!F99</f>
        <v>26</v>
      </c>
      <c r="E20" s="32" t="n">
        <f aca="false">'Raw Data'!G99+'Raw Data'!H99</f>
        <v>291</v>
      </c>
      <c r="F20" s="32" t="n">
        <f aca="false">'Raw Data'!I99</f>
        <v>476</v>
      </c>
      <c r="G20" s="32" t="n">
        <f aca="false">'Raw Data'!J99</f>
        <v>1005</v>
      </c>
      <c r="H20" s="32" t="n">
        <f aca="false">'Raw Data'!K99</f>
        <v>235</v>
      </c>
      <c r="I20" s="33" t="n">
        <f aca="false">F20/E20</f>
        <v>1.63573883161512</v>
      </c>
      <c r="J20" s="34" t="n">
        <f aca="false">D20/E20</f>
        <v>0.0893470790378007</v>
      </c>
      <c r="K20" s="34" t="n">
        <f aca="false">D20/G20</f>
        <v>0.0258706467661692</v>
      </c>
      <c r="L20" s="35" t="n">
        <f aca="false">LN(G20)</f>
        <v>6.91274282049318</v>
      </c>
      <c r="M20" s="34" t="n">
        <f aca="false">(B20-'Raw Data'!D98)/'Raw Data'!D98</f>
        <v>-0.116228070175439</v>
      </c>
      <c r="N20" s="34" t="n">
        <f aca="false">H20/G20</f>
        <v>0.233830845771144</v>
      </c>
      <c r="O20" s="33" t="n">
        <f aca="false">'Raw Data'!L99</f>
        <v>6.12</v>
      </c>
      <c r="P20" s="33" t="n">
        <f aca="false">'Raw Data'!M99/'Raw Data'!N99</f>
        <v>3.0084388185654</v>
      </c>
    </row>
    <row r="21" customFormat="false" ht="15" hidden="false" customHeight="true" outlineLevel="0" collapsed="false">
      <c r="A21" s="18" t="s">
        <v>105</v>
      </c>
      <c r="B21" s="28" t="n">
        <f aca="false">'Raw Data'!D100</f>
        <v>1789</v>
      </c>
      <c r="C21" s="28" t="n">
        <f aca="false">'Raw Data'!E100</f>
        <v>204</v>
      </c>
      <c r="D21" s="28" t="n">
        <f aca="false">'Raw Data'!F100</f>
        <v>117</v>
      </c>
      <c r="E21" s="28" t="n">
        <f aca="false">'Raw Data'!G100+'Raw Data'!H100</f>
        <v>709</v>
      </c>
      <c r="F21" s="28" t="n">
        <f aca="false">'Raw Data'!I100</f>
        <v>191</v>
      </c>
      <c r="G21" s="28" t="n">
        <f aca="false">'Raw Data'!J100</f>
        <v>1226</v>
      </c>
      <c r="H21" s="28" t="n">
        <f aca="false">'Raw Data'!K100</f>
        <v>282</v>
      </c>
      <c r="I21" s="29" t="n">
        <f aca="false">F21/E21</f>
        <v>0.269393511988717</v>
      </c>
      <c r="J21" s="30" t="n">
        <f aca="false">D21/E21</f>
        <v>0.165021156558533</v>
      </c>
      <c r="K21" s="30" t="n">
        <f aca="false">D21/G21</f>
        <v>0.0954323001631321</v>
      </c>
      <c r="L21" s="31" t="n">
        <f aca="false">LN(G21)</f>
        <v>7.11151211649616</v>
      </c>
      <c r="M21" s="30" t="n">
        <f aca="false">(B21-'Raw Data'!D99)/'Raw Data'!D99</f>
        <v>0.479735318444996</v>
      </c>
      <c r="N21" s="30" t="n">
        <f aca="false">H21/G21</f>
        <v>0.230016313213703</v>
      </c>
      <c r="O21" s="29" t="n">
        <f aca="false">'Raw Data'!L100</f>
        <v>19.79</v>
      </c>
      <c r="P21" s="29" t="n">
        <f aca="false">'Raw Data'!M100/'Raw Data'!N100</f>
        <v>2.36923076923077</v>
      </c>
    </row>
    <row r="22" customFormat="false" ht="15" hidden="false" customHeight="true" outlineLevel="0" collapsed="false">
      <c r="A22" s="21" t="s">
        <v>106</v>
      </c>
      <c r="B22" s="32" t="n">
        <f aca="false">'Raw Data'!D101</f>
        <v>2221</v>
      </c>
      <c r="C22" s="32" t="n">
        <f aca="false">'Raw Data'!E101</f>
        <v>269</v>
      </c>
      <c r="D22" s="32" t="n">
        <f aca="false">'Raw Data'!F101</f>
        <v>178</v>
      </c>
      <c r="E22" s="32" t="n">
        <f aca="false">'Raw Data'!G101+'Raw Data'!H101</f>
        <v>893</v>
      </c>
      <c r="F22" s="32" t="n">
        <f aca="false">'Raw Data'!I101</f>
        <v>141</v>
      </c>
      <c r="G22" s="32" t="n">
        <f aca="false">'Raw Data'!J101</f>
        <v>1343</v>
      </c>
      <c r="H22" s="32" t="n">
        <f aca="false">'Raw Data'!K101</f>
        <v>261</v>
      </c>
      <c r="I22" s="33" t="n">
        <f aca="false">F22/E22</f>
        <v>0.157894736842105</v>
      </c>
      <c r="J22" s="34" t="n">
        <f aca="false">D22/E22</f>
        <v>0.1993281075028</v>
      </c>
      <c r="K22" s="34" t="n">
        <f aca="false">D22/G22</f>
        <v>0.132539091586002</v>
      </c>
      <c r="L22" s="35" t="n">
        <f aca="false">LN(G22)</f>
        <v>7.20266119652324</v>
      </c>
      <c r="M22" s="34" t="n">
        <f aca="false">(B22-'Raw Data'!D100)/'Raw Data'!D100</f>
        <v>0.241475684740078</v>
      </c>
      <c r="N22" s="34" t="n">
        <f aca="false">H22/G22</f>
        <v>0.194341027550261</v>
      </c>
      <c r="O22" s="33" t="n">
        <f aca="false">'Raw Data'!L101</f>
        <v>29.45</v>
      </c>
      <c r="P22" s="33" t="n">
        <f aca="false">'Raw Data'!M101/'Raw Data'!N101</f>
        <v>2.32038834951456</v>
      </c>
    </row>
    <row r="23" customFormat="false" ht="15" hidden="false" customHeight="true" outlineLevel="0" collapsed="false">
      <c r="A23" s="18" t="s">
        <v>107</v>
      </c>
      <c r="B23" s="28" t="n">
        <f aca="false">'Raw Data'!D102</f>
        <v>2139</v>
      </c>
      <c r="C23" s="28" t="n">
        <f aca="false">'Raw Data'!E102</f>
        <v>255</v>
      </c>
      <c r="D23" s="28" t="n">
        <f aca="false">'Raw Data'!F102</f>
        <v>164</v>
      </c>
      <c r="E23" s="28" t="n">
        <f aca="false">'Raw Data'!G102+'Raw Data'!H102</f>
        <v>1342</v>
      </c>
      <c r="F23" s="28" t="n">
        <f aca="false">'Raw Data'!I102</f>
        <v>254</v>
      </c>
      <c r="G23" s="28" t="n">
        <f aca="false">'Raw Data'!J102</f>
        <v>1955</v>
      </c>
      <c r="H23" s="28" t="n">
        <f aca="false">'Raw Data'!K102</f>
        <v>254</v>
      </c>
      <c r="I23" s="29" t="n">
        <f aca="false">F23/E23</f>
        <v>0.189269746646796</v>
      </c>
      <c r="J23" s="30" t="n">
        <f aca="false">D23/E23</f>
        <v>0.12220566318927</v>
      </c>
      <c r="K23" s="30" t="n">
        <f aca="false">D23/G23</f>
        <v>0.0838874680306905</v>
      </c>
      <c r="L23" s="31" t="n">
        <f aca="false">LN(G23)</f>
        <v>7.57814547241947</v>
      </c>
      <c r="M23" s="30" t="n">
        <f aca="false">(B23-'Raw Data'!D101)/'Raw Data'!D101</f>
        <v>-0.0369203061683926</v>
      </c>
      <c r="N23" s="30" t="n">
        <f aca="false">H23/G23</f>
        <v>0.129923273657289</v>
      </c>
      <c r="O23" s="29" t="n">
        <f aca="false">'Raw Data'!L102</f>
        <v>25.9</v>
      </c>
      <c r="P23" s="29" t="n">
        <f aca="false">'Raw Data'!M102/'Raw Data'!N102</f>
        <v>3.33426183844011</v>
      </c>
    </row>
    <row r="24" customFormat="false" ht="15" hidden="false" customHeight="true" outlineLevel="0" collapsed="false">
      <c r="A24" s="21" t="s">
        <v>108</v>
      </c>
      <c r="B24" s="32" t="n">
        <f aca="false">'Raw Data'!D103</f>
        <v>2477</v>
      </c>
      <c r="C24" s="32" t="n">
        <f aca="false">'Raw Data'!E103</f>
        <v>244</v>
      </c>
      <c r="D24" s="32" t="n">
        <f aca="false">'Raw Data'!F103</f>
        <v>191</v>
      </c>
      <c r="E24" s="32" t="n">
        <f aca="false">'Raw Data'!G103+'Raw Data'!H103</f>
        <v>2145</v>
      </c>
      <c r="F24" s="32" t="n">
        <f aca="false">'Raw Data'!I103</f>
        <v>192</v>
      </c>
      <c r="G24" s="32" t="n">
        <f aca="false">'Raw Data'!J103</f>
        <v>2763</v>
      </c>
      <c r="H24" s="32" t="n">
        <f aca="false">'Raw Data'!K103</f>
        <v>272</v>
      </c>
      <c r="I24" s="33" t="n">
        <f aca="false">F24/E24</f>
        <v>0.0895104895104895</v>
      </c>
      <c r="J24" s="34" t="n">
        <f aca="false">D24/E24</f>
        <v>0.089044289044289</v>
      </c>
      <c r="K24" s="34" t="n">
        <f aca="false">D24/G24</f>
        <v>0.0691277596815056</v>
      </c>
      <c r="L24" s="35" t="n">
        <f aca="false">LN(G24)</f>
        <v>7.92407232492342</v>
      </c>
      <c r="M24" s="34" t="n">
        <f aca="false">(B24-'Raw Data'!D102)/'Raw Data'!D102</f>
        <v>0.158017765310893</v>
      </c>
      <c r="N24" s="34" t="n">
        <f aca="false">H24/G24</f>
        <v>0.0984437205935577</v>
      </c>
      <c r="O24" s="33" t="n">
        <f aca="false">'Raw Data'!L103</f>
        <v>26.77</v>
      </c>
      <c r="P24" s="33" t="n">
        <f aca="false">'Raw Data'!M103/'Raw Data'!N103</f>
        <v>3.87089201877934</v>
      </c>
    </row>
    <row r="25" customFormat="false" ht="15" hidden="false" customHeight="true" outlineLevel="0" collapsed="false">
      <c r="A25" s="36" t="s">
        <v>109</v>
      </c>
      <c r="B25" s="37" t="n">
        <f aca="false">AVERAGE(B15:B24)</f>
        <v>1544.5</v>
      </c>
      <c r="C25" s="37" t="n">
        <f aca="false">AVERAGE(C15:C24)</f>
        <v>120.5</v>
      </c>
      <c r="D25" s="37" t="n">
        <f aca="false">AVERAGE(D15:D24)</f>
        <v>71.8</v>
      </c>
      <c r="E25" s="37" t="n">
        <f aca="false">AVERAGE(E15:E24)</f>
        <v>635.4</v>
      </c>
      <c r="F25" s="37" t="n">
        <f aca="false">AVERAGE(F15:F24)</f>
        <v>336.4</v>
      </c>
      <c r="G25" s="37" t="n">
        <f aca="false">AVERAGE(G15:G24)</f>
        <v>1236.7</v>
      </c>
      <c r="H25" s="37" t="n">
        <f aca="false">AVERAGE(H15:H24)</f>
        <v>186.8</v>
      </c>
      <c r="I25" s="38" t="n">
        <f aca="false">AVERAGE(I15:I24)</f>
        <v>1.39871951692194</v>
      </c>
      <c r="J25" s="39" t="n">
        <f aca="false">AVERAGE(J15:J24)</f>
        <v>0.0684570215211522</v>
      </c>
      <c r="K25" s="39" t="n">
        <f aca="false">AVERAGE(K15:K24)</f>
        <v>0.0459688412074482</v>
      </c>
      <c r="L25" s="40" t="n">
        <f aca="false">AVERAGE(L15:L24)</f>
        <v>7.02272441880897</v>
      </c>
      <c r="M25" s="39" t="n">
        <f aca="false">AVERAGE(M15:M24)</f>
        <v>0.102114166117092</v>
      </c>
      <c r="N25" s="39" t="n">
        <f aca="false">AVERAGE(N15:N24)</f>
        <v>0.156990586994855</v>
      </c>
      <c r="O25" s="38" t="n">
        <f aca="false">AVERAGE(O15:O24)</f>
        <v>11.696</v>
      </c>
      <c r="P25" s="38" t="n">
        <f aca="false">AVERAGE(P15:P24)</f>
        <v>3.24430961557589</v>
      </c>
    </row>
    <row r="27" customFormat="false" ht="15" hidden="false" customHeight="true" outlineLevel="0" collapsed="false">
      <c r="A27" s="41" t="s">
        <v>110</v>
      </c>
      <c r="I27" s="42" t="n">
        <f aca="false">STDEV(I15:I24)</f>
        <v>1.22796384234325</v>
      </c>
      <c r="J27" s="43" t="n">
        <f aca="false">STDEV(J15:J24)</f>
        <v>0.182530803978314</v>
      </c>
      <c r="K27" s="43" t="n">
        <f aca="false">STDEV(K15:K24)</f>
        <v>0.0597652626041832</v>
      </c>
      <c r="O27" s="42" t="n">
        <f aca="false">STDEV(O15:O24)</f>
        <v>14.7801249430894</v>
      </c>
      <c r="P27" s="42" t="n">
        <f aca="false">STDEV(P15:P24)</f>
        <v>0.660951588338113</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4"/>
    <col collapsed="false" customWidth="true" hidden="false" outlineLevel="0" max="2" min="2" style="14" width="11"/>
    <col collapsed="false" customWidth="true" hidden="false" outlineLevel="0" max="3" min="3" style="14" width="10"/>
    <col collapsed="false" customWidth="true" hidden="false" outlineLevel="0" max="4" min="4" style="14" width="11"/>
    <col collapsed="false" customWidth="true" hidden="false" outlineLevel="0" max="5" min="5" style="14" width="12"/>
    <col collapsed="false" customWidth="true" hidden="false" outlineLevel="0" max="6" min="6" style="14" width="11"/>
    <col collapsed="false" customWidth="true" hidden="false" outlineLevel="0" max="7" min="7" style="14" width="12"/>
    <col collapsed="false" customWidth="true" hidden="false" outlineLevel="0" max="8" min="8" style="14" width="11"/>
    <col collapsed="false" customWidth="true" hidden="false" outlineLevel="0" max="11" min="9" style="14" width="9"/>
    <col collapsed="false" customWidth="true" hidden="false" outlineLevel="0" max="12" min="12" style="14" width="11"/>
    <col collapsed="false" customWidth="true" hidden="false" outlineLevel="0" max="13" min="13" style="14" width="12"/>
    <col collapsed="false" customWidth="true" hidden="false" outlineLevel="0" max="14" min="14" style="14" width="11"/>
    <col collapsed="false" customWidth="true" hidden="false" outlineLevel="0" max="15" min="15" style="14" width="10"/>
    <col collapsed="false" customWidth="true" hidden="false" outlineLevel="0" max="16" min="16" style="0" width="12"/>
  </cols>
  <sheetData>
    <row r="1" customFormat="false" ht="30" hidden="false" customHeight="true" outlineLevel="0" collapsed="false">
      <c r="A1" s="24" t="s">
        <v>70</v>
      </c>
      <c r="B1" s="24"/>
      <c r="C1" s="24"/>
      <c r="D1" s="24"/>
      <c r="E1" s="24"/>
      <c r="F1" s="24"/>
      <c r="G1" s="24"/>
      <c r="H1" s="24"/>
      <c r="I1" s="24"/>
      <c r="J1" s="24"/>
      <c r="K1" s="24"/>
      <c r="L1" s="24"/>
      <c r="M1" s="24"/>
      <c r="N1" s="24"/>
      <c r="O1" s="24"/>
      <c r="P1" s="24"/>
    </row>
    <row r="3" customFormat="false" ht="18" hidden="false" customHeight="true" outlineLevel="0" collapsed="false">
      <c r="A3" s="25" t="s">
        <v>71</v>
      </c>
      <c r="B3" s="26" t="s">
        <v>162</v>
      </c>
      <c r="C3" s="26"/>
      <c r="D3" s="26"/>
      <c r="E3" s="26"/>
      <c r="F3" s="26"/>
    </row>
    <row r="4" customFormat="false" ht="18" hidden="false" customHeight="true" outlineLevel="0" collapsed="false">
      <c r="A4" s="25" t="s">
        <v>47</v>
      </c>
      <c r="B4" s="26" t="s">
        <v>61</v>
      </c>
      <c r="C4" s="26"/>
      <c r="D4" s="26"/>
      <c r="E4" s="26"/>
      <c r="F4" s="26"/>
    </row>
    <row r="5" customFormat="false" ht="18" hidden="false" customHeight="true" outlineLevel="0" collapsed="false">
      <c r="A5" s="25" t="s">
        <v>73</v>
      </c>
      <c r="B5" s="26" t="s">
        <v>163</v>
      </c>
      <c r="C5" s="26"/>
      <c r="D5" s="26"/>
      <c r="E5" s="26"/>
      <c r="F5" s="26"/>
    </row>
    <row r="6" customFormat="false" ht="18" hidden="false" customHeight="true" outlineLevel="0" collapsed="false">
      <c r="A6" s="25" t="s">
        <v>75</v>
      </c>
      <c r="B6" s="26" t="s">
        <v>164</v>
      </c>
      <c r="C6" s="26"/>
      <c r="D6" s="26"/>
      <c r="E6" s="26"/>
      <c r="F6" s="26"/>
    </row>
    <row r="7" customFormat="false" ht="18" hidden="false" customHeight="true" outlineLevel="0" collapsed="false">
      <c r="A7" s="25" t="s">
        <v>77</v>
      </c>
      <c r="B7" s="26" t="s">
        <v>165</v>
      </c>
      <c r="C7" s="26"/>
      <c r="D7" s="26"/>
      <c r="E7" s="26"/>
      <c r="F7" s="26"/>
    </row>
    <row r="8" customFormat="false" ht="18" hidden="false" customHeight="true" outlineLevel="0" collapsed="false">
      <c r="A8" s="25" t="s">
        <v>79</v>
      </c>
      <c r="B8" s="26" t="s">
        <v>166</v>
      </c>
      <c r="C8" s="26"/>
      <c r="D8" s="26"/>
      <c r="E8" s="26"/>
      <c r="F8" s="26"/>
    </row>
    <row r="9" customFormat="false" ht="18" hidden="false" customHeight="true" outlineLevel="0" collapsed="false">
      <c r="A9" s="25" t="s">
        <v>81</v>
      </c>
      <c r="B9" s="26" t="s">
        <v>167</v>
      </c>
      <c r="C9" s="26"/>
      <c r="D9" s="26"/>
      <c r="E9" s="26"/>
      <c r="F9" s="26"/>
    </row>
    <row r="10" customFormat="false" ht="18" hidden="false" customHeight="true" outlineLevel="0" collapsed="false">
      <c r="A10" s="25" t="s">
        <v>83</v>
      </c>
      <c r="B10" s="26" t="s">
        <v>168</v>
      </c>
      <c r="C10" s="26"/>
      <c r="D10" s="26"/>
      <c r="E10" s="26"/>
      <c r="F10" s="26"/>
    </row>
    <row r="11" customFormat="false" ht="18" hidden="false" customHeight="true" outlineLevel="0" collapsed="false">
      <c r="A11" s="25" t="s">
        <v>85</v>
      </c>
      <c r="B11" s="26" t="s">
        <v>169</v>
      </c>
      <c r="C11" s="26"/>
      <c r="D11" s="26"/>
      <c r="E11" s="26"/>
      <c r="F11" s="26"/>
    </row>
    <row r="13" customFormat="false" ht="15" hidden="false" customHeight="true" outlineLevel="0" collapsed="false">
      <c r="A13" s="27" t="s">
        <v>87</v>
      </c>
    </row>
    <row r="14" customFormat="false" ht="23.25" hidden="false" customHeight="true" outlineLevel="0" collapsed="false">
      <c r="A14" s="17" t="s">
        <v>88</v>
      </c>
      <c r="B14" s="17" t="s">
        <v>49</v>
      </c>
      <c r="C14" s="17" t="s">
        <v>89</v>
      </c>
      <c r="D14" s="17" t="s">
        <v>51</v>
      </c>
      <c r="E14" s="17" t="s">
        <v>90</v>
      </c>
      <c r="F14" s="17" t="s">
        <v>54</v>
      </c>
      <c r="G14" s="17" t="s">
        <v>55</v>
      </c>
      <c r="H14" s="17" t="s">
        <v>91</v>
      </c>
      <c r="I14" s="17" t="s">
        <v>92</v>
      </c>
      <c r="J14" s="17" t="s">
        <v>93</v>
      </c>
      <c r="K14" s="17" t="s">
        <v>94</v>
      </c>
      <c r="L14" s="17" t="s">
        <v>95</v>
      </c>
      <c r="M14" s="17" t="s">
        <v>96</v>
      </c>
      <c r="N14" s="17" t="s">
        <v>97</v>
      </c>
      <c r="O14" s="17" t="s">
        <v>57</v>
      </c>
      <c r="P14" s="17" t="s">
        <v>98</v>
      </c>
    </row>
    <row r="15" customFormat="false" ht="15" hidden="false" customHeight="true" outlineLevel="0" collapsed="false">
      <c r="A15" s="18" t="s">
        <v>99</v>
      </c>
      <c r="B15" s="28" t="n">
        <f aca="false">'Raw Data'!D105</f>
        <v>1609</v>
      </c>
      <c r="C15" s="28" t="n">
        <f aca="false">'Raw Data'!E105</f>
        <v>196</v>
      </c>
      <c r="D15" s="28" t="n">
        <f aca="false">'Raw Data'!F105</f>
        <v>84</v>
      </c>
      <c r="E15" s="28" t="n">
        <f aca="false">'Raw Data'!G105+'Raw Data'!H105</f>
        <v>506</v>
      </c>
      <c r="F15" s="28" t="n">
        <f aca="false">'Raw Data'!I105</f>
        <v>408</v>
      </c>
      <c r="G15" s="28" t="n">
        <f aca="false">'Raw Data'!J105</f>
        <v>1195</v>
      </c>
      <c r="H15" s="28" t="n">
        <f aca="false">'Raw Data'!K105</f>
        <v>403</v>
      </c>
      <c r="I15" s="29" t="n">
        <f aca="false">F15/E15</f>
        <v>0.806324110671937</v>
      </c>
      <c r="J15" s="30" t="n">
        <f aca="false">D15/E15</f>
        <v>0.16600790513834</v>
      </c>
      <c r="K15" s="30" t="n">
        <f aca="false">D15/G15</f>
        <v>0.0702928870292887</v>
      </c>
      <c r="L15" s="31" t="n">
        <f aca="false">LN(G15)</f>
        <v>7.08590146436561</v>
      </c>
      <c r="M15" s="30" t="n">
        <f aca="false">(B15-'Raw Data'!D104)/'Raw Data'!D104</f>
        <v>0.0755347593582888</v>
      </c>
      <c r="N15" s="30" t="n">
        <f aca="false">H15/G15</f>
        <v>0.337238493723849</v>
      </c>
      <c r="O15" s="29" t="n">
        <f aca="false">'Raw Data'!L105</f>
        <v>17.93</v>
      </c>
      <c r="P15" s="29" t="n">
        <f aca="false">'Raw Data'!M105/'Raw Data'!N105</f>
        <v>2.75886524822695</v>
      </c>
    </row>
    <row r="16" customFormat="false" ht="15" hidden="false" customHeight="true" outlineLevel="0" collapsed="false">
      <c r="A16" s="21" t="s">
        <v>100</v>
      </c>
      <c r="B16" s="32" t="n">
        <f aca="false">'Raw Data'!D106</f>
        <v>1570</v>
      </c>
      <c r="C16" s="32" t="n">
        <f aca="false">'Raw Data'!E106</f>
        <v>197</v>
      </c>
      <c r="D16" s="32" t="n">
        <f aca="false">'Raw Data'!F106</f>
        <v>91</v>
      </c>
      <c r="E16" s="32" t="n">
        <f aca="false">'Raw Data'!G106+'Raw Data'!H106</f>
        <v>596</v>
      </c>
      <c r="F16" s="32" t="n">
        <f aca="false">'Raw Data'!I106</f>
        <v>305</v>
      </c>
      <c r="G16" s="32" t="n">
        <f aca="false">'Raw Data'!J106</f>
        <v>1159</v>
      </c>
      <c r="H16" s="32" t="n">
        <f aca="false">'Raw Data'!K106</f>
        <v>445</v>
      </c>
      <c r="I16" s="33" t="n">
        <f aca="false">F16/E16</f>
        <v>0.511744966442953</v>
      </c>
      <c r="J16" s="34" t="n">
        <f aca="false">D16/E16</f>
        <v>0.152684563758389</v>
      </c>
      <c r="K16" s="34" t="n">
        <f aca="false">D16/G16</f>
        <v>0.0785159620362381</v>
      </c>
      <c r="L16" s="35" t="n">
        <f aca="false">LN(G16)</f>
        <v>7.05531284333975</v>
      </c>
      <c r="M16" s="34" t="n">
        <f aca="false">(B16-'Raw Data'!D105)/'Raw Data'!D105</f>
        <v>-0.0242386575512741</v>
      </c>
      <c r="N16" s="34" t="n">
        <f aca="false">H16/G16</f>
        <v>0.383951682484901</v>
      </c>
      <c r="O16" s="33" t="n">
        <f aca="false">'Raw Data'!L106</f>
        <v>19.41</v>
      </c>
      <c r="P16" s="33" t="n">
        <f aca="false">'Raw Data'!M106/'Raw Data'!N106</f>
        <v>2.76744186046512</v>
      </c>
    </row>
    <row r="17" customFormat="false" ht="15" hidden="false" customHeight="true" outlineLevel="0" collapsed="false">
      <c r="A17" s="18" t="s">
        <v>101</v>
      </c>
      <c r="B17" s="28" t="n">
        <f aca="false">'Raw Data'!D107</f>
        <v>1733</v>
      </c>
      <c r="C17" s="28" t="n">
        <f aca="false">'Raw Data'!E107</f>
        <v>246</v>
      </c>
      <c r="D17" s="28" t="n">
        <f aca="false">'Raw Data'!F107</f>
        <v>112</v>
      </c>
      <c r="E17" s="28" t="n">
        <f aca="false">'Raw Data'!G107+'Raw Data'!H107</f>
        <v>678</v>
      </c>
      <c r="F17" s="28" t="n">
        <f aca="false">'Raw Data'!I107</f>
        <v>573</v>
      </c>
      <c r="G17" s="28" t="n">
        <f aca="false">'Raw Data'!J107</f>
        <v>1553</v>
      </c>
      <c r="H17" s="28" t="n">
        <f aca="false">'Raw Data'!K107</f>
        <v>532</v>
      </c>
      <c r="I17" s="29" t="n">
        <f aca="false">F17/E17</f>
        <v>0.845132743362832</v>
      </c>
      <c r="J17" s="30" t="n">
        <f aca="false">D17/E17</f>
        <v>0.165191740412979</v>
      </c>
      <c r="K17" s="30" t="n">
        <f aca="false">D17/G17</f>
        <v>0.0721184803605924</v>
      </c>
      <c r="L17" s="31" t="n">
        <f aca="false">LN(G17)</f>
        <v>7.34794382314869</v>
      </c>
      <c r="M17" s="30" t="n">
        <f aca="false">(B17-'Raw Data'!D106)/'Raw Data'!D106</f>
        <v>0.103821656050955</v>
      </c>
      <c r="N17" s="30" t="n">
        <f aca="false">H17/G17</f>
        <v>0.342562781712814</v>
      </c>
      <c r="O17" s="29" t="n">
        <f aca="false">'Raw Data'!L107</f>
        <v>23.81</v>
      </c>
      <c r="P17" s="29" t="n">
        <f aca="false">'Raw Data'!M107/'Raw Data'!N107</f>
        <v>3.28571428571429</v>
      </c>
    </row>
    <row r="18" customFormat="false" ht="15" hidden="false" customHeight="true" outlineLevel="0" collapsed="false">
      <c r="A18" s="21" t="s">
        <v>102</v>
      </c>
      <c r="B18" s="32" t="n">
        <f aca="false">'Raw Data'!D108</f>
        <v>1815</v>
      </c>
      <c r="C18" s="32" t="n">
        <f aca="false">'Raw Data'!E108</f>
        <v>241</v>
      </c>
      <c r="D18" s="32" t="n">
        <f aca="false">'Raw Data'!F108</f>
        <v>101</v>
      </c>
      <c r="E18" s="32" t="n">
        <f aca="false">'Raw Data'!G108+'Raw Data'!H108</f>
        <v>757</v>
      </c>
      <c r="F18" s="32" t="n">
        <f aca="false">'Raw Data'!I108</f>
        <v>444</v>
      </c>
      <c r="G18" s="32" t="n">
        <f aca="false">'Raw Data'!J108</f>
        <v>1505</v>
      </c>
      <c r="H18" s="32" t="n">
        <f aca="false">'Raw Data'!K108</f>
        <v>527</v>
      </c>
      <c r="I18" s="33" t="n">
        <f aca="false">F18/E18</f>
        <v>0.586525759577279</v>
      </c>
      <c r="J18" s="34" t="n">
        <f aca="false">D18/E18</f>
        <v>0.133421400264201</v>
      </c>
      <c r="K18" s="34" t="n">
        <f aca="false">D18/G18</f>
        <v>0.067109634551495</v>
      </c>
      <c r="L18" s="35" t="n">
        <f aca="false">LN(G18)</f>
        <v>7.31654817718298</v>
      </c>
      <c r="M18" s="34" t="n">
        <f aca="false">(B18-'Raw Data'!D107)/'Raw Data'!D107</f>
        <v>0.0473167916907098</v>
      </c>
      <c r="N18" s="34" t="n">
        <f aca="false">H18/G18</f>
        <v>0.350166112956811</v>
      </c>
      <c r="O18" s="33" t="n">
        <f aca="false">'Raw Data'!L108</f>
        <v>21.58</v>
      </c>
      <c r="P18" s="33" t="n">
        <f aca="false">'Raw Data'!M108/'Raw Data'!N108</f>
        <v>3.14521452145215</v>
      </c>
    </row>
    <row r="19" customFormat="false" ht="15" hidden="false" customHeight="true" outlineLevel="0" collapsed="false">
      <c r="A19" s="18" t="s">
        <v>103</v>
      </c>
      <c r="B19" s="28" t="n">
        <f aca="false">'Raw Data'!D109</f>
        <v>1698</v>
      </c>
      <c r="C19" s="28" t="n">
        <f aca="false">'Raw Data'!E109</f>
        <v>169</v>
      </c>
      <c r="D19" s="28" t="n">
        <f aca="false">'Raw Data'!F109</f>
        <v>72</v>
      </c>
      <c r="E19" s="28" t="n">
        <f aca="false">'Raw Data'!G109+'Raw Data'!H109</f>
        <v>767</v>
      </c>
      <c r="F19" s="28" t="n">
        <f aca="false">'Raw Data'!I109</f>
        <v>428</v>
      </c>
      <c r="G19" s="28" t="n">
        <f aca="false">'Raw Data'!J109</f>
        <v>1503</v>
      </c>
      <c r="H19" s="28" t="n">
        <f aca="false">'Raw Data'!K109</f>
        <v>552</v>
      </c>
      <c r="I19" s="29" t="n">
        <f aca="false">F19/E19</f>
        <v>0.558018252933507</v>
      </c>
      <c r="J19" s="30" t="n">
        <f aca="false">D19/E19</f>
        <v>0.0938722294654498</v>
      </c>
      <c r="K19" s="30" t="n">
        <f aca="false">D19/G19</f>
        <v>0.0479041916167665</v>
      </c>
      <c r="L19" s="31" t="n">
        <f aca="false">LN(G19)</f>
        <v>7.31521838975298</v>
      </c>
      <c r="M19" s="30" t="n">
        <f aca="false">(B19-'Raw Data'!D108)/'Raw Data'!D108</f>
        <v>-0.0644628099173554</v>
      </c>
      <c r="N19" s="30" t="n">
        <f aca="false">H19/G19</f>
        <v>0.367265469061876</v>
      </c>
      <c r="O19" s="29" t="n">
        <f aca="false">'Raw Data'!L109</f>
        <v>15.3</v>
      </c>
      <c r="P19" s="29" t="n">
        <f aca="false">'Raw Data'!M109/'Raw Data'!N109</f>
        <v>3.00649350649351</v>
      </c>
    </row>
    <row r="20" customFormat="false" ht="15" hidden="false" customHeight="true" outlineLevel="0" collapsed="false">
      <c r="A20" s="21" t="s">
        <v>104</v>
      </c>
      <c r="B20" s="32" t="n">
        <f aca="false">'Raw Data'!D110</f>
        <v>1088</v>
      </c>
      <c r="C20" s="32" t="n">
        <f aca="false">'Raw Data'!E110</f>
        <v>55</v>
      </c>
      <c r="D20" s="32" t="n">
        <f aca="false">'Raw Data'!F110</f>
        <v>5</v>
      </c>
      <c r="E20" s="32" t="n">
        <f aca="false">'Raw Data'!G110+'Raw Data'!H110</f>
        <v>774</v>
      </c>
      <c r="F20" s="32" t="n">
        <f aca="false">'Raw Data'!I110</f>
        <v>139</v>
      </c>
      <c r="G20" s="32" t="n">
        <f aca="false">'Raw Data'!J110</f>
        <v>1217</v>
      </c>
      <c r="H20" s="32" t="n">
        <f aca="false">'Raw Data'!K110</f>
        <v>490</v>
      </c>
      <c r="I20" s="33" t="n">
        <f aca="false">F20/E20</f>
        <v>0.179586563307494</v>
      </c>
      <c r="J20" s="34" t="n">
        <f aca="false">D20/E20</f>
        <v>0.00645994832041344</v>
      </c>
      <c r="K20" s="34" t="n">
        <f aca="false">D20/G20</f>
        <v>0.00410846343467543</v>
      </c>
      <c r="L20" s="35" t="n">
        <f aca="false">LN(G20)</f>
        <v>7.10414409298753</v>
      </c>
      <c r="M20" s="34" t="n">
        <f aca="false">(B20-'Raw Data'!D109)/'Raw Data'!D109</f>
        <v>-0.35924617196702</v>
      </c>
      <c r="N20" s="34" t="n">
        <f aca="false">H20/G20</f>
        <v>0.402629416598192</v>
      </c>
      <c r="O20" s="33" t="n">
        <f aca="false">'Raw Data'!L110</f>
        <v>1.14</v>
      </c>
      <c r="P20" s="33" t="n">
        <f aca="false">'Raw Data'!M110/'Raw Data'!N110</f>
        <v>2.22368421052632</v>
      </c>
    </row>
    <row r="21" customFormat="false" ht="15" hidden="false" customHeight="true" outlineLevel="0" collapsed="false">
      <c r="A21" s="18" t="s">
        <v>105</v>
      </c>
      <c r="B21" s="28" t="n">
        <f aca="false">'Raw Data'!D111</f>
        <v>1903</v>
      </c>
      <c r="C21" s="28" t="n">
        <f aca="false">'Raw Data'!E111</f>
        <v>334</v>
      </c>
      <c r="D21" s="28" t="n">
        <f aca="false">'Raw Data'!F111</f>
        <v>213</v>
      </c>
      <c r="E21" s="28" t="n">
        <f aca="false">'Raw Data'!G111+'Raw Data'!H111</f>
        <v>937</v>
      </c>
      <c r="F21" s="28" t="n">
        <f aca="false">'Raw Data'!I111</f>
        <v>223</v>
      </c>
      <c r="G21" s="28" t="n">
        <f aca="false">'Raw Data'!J111</f>
        <v>1515</v>
      </c>
      <c r="H21" s="28" t="n">
        <f aca="false">'Raw Data'!K111</f>
        <v>500</v>
      </c>
      <c r="I21" s="29" t="n">
        <f aca="false">F21/E21</f>
        <v>0.237993596584845</v>
      </c>
      <c r="J21" s="30" t="n">
        <f aca="false">D21/E21</f>
        <v>0.227321237993597</v>
      </c>
      <c r="K21" s="30" t="n">
        <f aca="false">D21/G21</f>
        <v>0.140594059405941</v>
      </c>
      <c r="L21" s="31" t="n">
        <f aca="false">LN(G21)</f>
        <v>7.32317071794347</v>
      </c>
      <c r="M21" s="30" t="n">
        <f aca="false">(B21-'Raw Data'!D110)/'Raw Data'!D110</f>
        <v>0.749080882352941</v>
      </c>
      <c r="N21" s="30" t="n">
        <f aca="false">H21/G21</f>
        <v>0.33003300330033</v>
      </c>
      <c r="O21" s="29" t="n">
        <f aca="false">'Raw Data'!L111</f>
        <v>45.34</v>
      </c>
      <c r="P21" s="29" t="n">
        <f aca="false">'Raw Data'!M111/'Raw Data'!N111</f>
        <v>2.72394366197183</v>
      </c>
    </row>
    <row r="22" customFormat="false" ht="15" hidden="false" customHeight="true" outlineLevel="0" collapsed="false">
      <c r="A22" s="21" t="s">
        <v>106</v>
      </c>
      <c r="B22" s="32" t="n">
        <f aca="false">'Raw Data'!D112</f>
        <v>2229</v>
      </c>
      <c r="C22" s="32" t="n">
        <f aca="false">'Raw Data'!E112</f>
        <v>369</v>
      </c>
      <c r="D22" s="32" t="n">
        <f aca="false">'Raw Data'!F112</f>
        <v>252</v>
      </c>
      <c r="E22" s="32" t="n">
        <f aca="false">'Raw Data'!G112+'Raw Data'!H112</f>
        <v>1141</v>
      </c>
      <c r="F22" s="32" t="n">
        <f aca="false">'Raw Data'!I112</f>
        <v>163</v>
      </c>
      <c r="G22" s="32" t="n">
        <f aca="false">'Raw Data'!J112</f>
        <v>1640</v>
      </c>
      <c r="H22" s="32" t="n">
        <f aca="false">'Raw Data'!K112</f>
        <v>482</v>
      </c>
      <c r="I22" s="33" t="n">
        <f aca="false">F22/E22</f>
        <v>0.142857142857143</v>
      </c>
      <c r="J22" s="34" t="n">
        <f aca="false">D22/E22</f>
        <v>0.220858895705521</v>
      </c>
      <c r="K22" s="34" t="n">
        <f aca="false">D22/G22</f>
        <v>0.153658536585366</v>
      </c>
      <c r="L22" s="35" t="n">
        <f aca="false">LN(G22)</f>
        <v>7.40245152081824</v>
      </c>
      <c r="M22" s="34" t="n">
        <f aca="false">(B22-'Raw Data'!D111)/'Raw Data'!D111</f>
        <v>0.171308460325801</v>
      </c>
      <c r="N22" s="34" t="n">
        <f aca="false">H22/G22</f>
        <v>0.29390243902439</v>
      </c>
      <c r="O22" s="33" t="n">
        <f aca="false">'Raw Data'!L112</f>
        <v>53.73</v>
      </c>
      <c r="P22" s="33" t="n">
        <f aca="false">'Raw Data'!M112/'Raw Data'!N112</f>
        <v>3.04166666666667</v>
      </c>
    </row>
    <row r="23" customFormat="false" ht="15" hidden="false" customHeight="true" outlineLevel="0" collapsed="false">
      <c r="A23" s="18" t="s">
        <v>107</v>
      </c>
      <c r="B23" s="28" t="n">
        <f aca="false">'Raw Data'!D113</f>
        <v>2087</v>
      </c>
      <c r="C23" s="28" t="n">
        <f aca="false">'Raw Data'!E113</f>
        <v>286</v>
      </c>
      <c r="D23" s="28" t="n">
        <f aca="false">'Raw Data'!F113</f>
        <v>185</v>
      </c>
      <c r="E23" s="28" t="n">
        <f aca="false">'Raw Data'!G113+'Raw Data'!H113</f>
        <v>1141</v>
      </c>
      <c r="F23" s="28" t="n">
        <f aca="false">'Raw Data'!I113</f>
        <v>175</v>
      </c>
      <c r="G23" s="28" t="n">
        <f aca="false">'Raw Data'!J113</f>
        <v>1606</v>
      </c>
      <c r="H23" s="28" t="n">
        <f aca="false">'Raw Data'!K113</f>
        <v>493</v>
      </c>
      <c r="I23" s="29" t="n">
        <f aca="false">F23/E23</f>
        <v>0.153374233128834</v>
      </c>
      <c r="J23" s="30" t="n">
        <f aca="false">D23/E23</f>
        <v>0.162138475021911</v>
      </c>
      <c r="K23" s="30" t="n">
        <f aca="false">D23/G23</f>
        <v>0.11519302615193</v>
      </c>
      <c r="L23" s="31" t="n">
        <f aca="false">LN(G23)</f>
        <v>7.38150189450671</v>
      </c>
      <c r="M23" s="30" t="n">
        <f aca="false">(B23-'Raw Data'!D112)/'Raw Data'!D112</f>
        <v>-0.0637056976222521</v>
      </c>
      <c r="N23" s="30" t="n">
        <f aca="false">H23/G23</f>
        <v>0.306973848069739</v>
      </c>
      <c r="O23" s="29" t="n">
        <f aca="false">'Raw Data'!L113</f>
        <v>40.7</v>
      </c>
      <c r="P23" s="29" t="n">
        <f aca="false">'Raw Data'!M113/'Raw Data'!N113</f>
        <v>3.69655172413793</v>
      </c>
    </row>
    <row r="24" customFormat="false" ht="15" hidden="false" customHeight="true" outlineLevel="0" collapsed="false">
      <c r="A24" s="21" t="s">
        <v>108</v>
      </c>
      <c r="B24" s="32" t="n">
        <f aca="false">'Raw Data'!D114</f>
        <v>2220</v>
      </c>
      <c r="C24" s="32" t="n">
        <f aca="false">'Raw Data'!E114</f>
        <v>277</v>
      </c>
      <c r="D24" s="32" t="n">
        <f aca="false">'Raw Data'!F114</f>
        <v>199</v>
      </c>
      <c r="E24" s="32" t="n">
        <f aca="false">'Raw Data'!G114+'Raw Data'!H114</f>
        <v>1288</v>
      </c>
      <c r="F24" s="32" t="n">
        <f aca="false">'Raw Data'!I114</f>
        <v>262</v>
      </c>
      <c r="G24" s="32" t="n">
        <f aca="false">'Raw Data'!J114</f>
        <v>1893</v>
      </c>
      <c r="H24" s="32" t="n">
        <f aca="false">'Raw Data'!K114</f>
        <v>592</v>
      </c>
      <c r="I24" s="33" t="n">
        <f aca="false">F24/E24</f>
        <v>0.203416149068323</v>
      </c>
      <c r="J24" s="34" t="n">
        <f aca="false">D24/E24</f>
        <v>0.154503105590062</v>
      </c>
      <c r="K24" s="34" t="n">
        <f aca="false">D24/G24</f>
        <v>0.105124141574221</v>
      </c>
      <c r="L24" s="35" t="n">
        <f aca="false">LN(G24)</f>
        <v>7.54591815120932</v>
      </c>
      <c r="M24" s="34" t="n">
        <f aca="false">(B24-'Raw Data'!D113)/'Raw Data'!D113</f>
        <v>0.0637278390033541</v>
      </c>
      <c r="N24" s="34" t="n">
        <f aca="false">H24/G24</f>
        <v>0.312731114632858</v>
      </c>
      <c r="O24" s="33" t="n">
        <f aca="false">'Raw Data'!L114</f>
        <v>43.8</v>
      </c>
      <c r="P24" s="33" t="n">
        <f aca="false">'Raw Data'!M114/'Raw Data'!N114</f>
        <v>3.16666666666667</v>
      </c>
    </row>
    <row r="25" customFormat="false" ht="15" hidden="false" customHeight="true" outlineLevel="0" collapsed="false">
      <c r="A25" s="36" t="s">
        <v>109</v>
      </c>
      <c r="B25" s="37" t="n">
        <f aca="false">AVERAGE(B15:B24)</f>
        <v>1795.2</v>
      </c>
      <c r="C25" s="37" t="n">
        <f aca="false">AVERAGE(C15:C24)</f>
        <v>237</v>
      </c>
      <c r="D25" s="37" t="n">
        <f aca="false">AVERAGE(D15:D24)</f>
        <v>131.4</v>
      </c>
      <c r="E25" s="37" t="n">
        <f aca="false">AVERAGE(E15:E24)</f>
        <v>858.5</v>
      </c>
      <c r="F25" s="37" t="n">
        <f aca="false">AVERAGE(F15:F24)</f>
        <v>312</v>
      </c>
      <c r="G25" s="37" t="n">
        <f aca="false">AVERAGE(G15:G24)</f>
        <v>1478.6</v>
      </c>
      <c r="H25" s="37" t="n">
        <f aca="false">AVERAGE(H15:H24)</f>
        <v>501.6</v>
      </c>
      <c r="I25" s="38" t="n">
        <f aca="false">AVERAGE(I15:I24)</f>
        <v>0.422497351793515</v>
      </c>
      <c r="J25" s="39" t="n">
        <f aca="false">AVERAGE(J15:J24)</f>
        <v>0.148245950167086</v>
      </c>
      <c r="K25" s="39" t="n">
        <f aca="false">AVERAGE(K15:K24)</f>
        <v>0.0854619382746514</v>
      </c>
      <c r="L25" s="40" t="n">
        <f aca="false">AVERAGE(L15:L24)</f>
        <v>7.28781110752553</v>
      </c>
      <c r="M25" s="39" t="n">
        <f aca="false">AVERAGE(M15:M24)</f>
        <v>0.0699137051724149</v>
      </c>
      <c r="N25" s="39" t="n">
        <f aca="false">AVERAGE(N15:N24)</f>
        <v>0.342745436156576</v>
      </c>
      <c r="O25" s="38" t="n">
        <f aca="false">AVERAGE(O15:O24)</f>
        <v>28.274</v>
      </c>
      <c r="P25" s="38" t="n">
        <f aca="false">AVERAGE(P15:P24)</f>
        <v>2.98162423523214</v>
      </c>
    </row>
    <row r="27" customFormat="false" ht="15" hidden="false" customHeight="true" outlineLevel="0" collapsed="false">
      <c r="A27" s="41" t="s">
        <v>110</v>
      </c>
      <c r="I27" s="42" t="n">
        <f aca="false">STDEV(I15:I24)</f>
        <v>0.273018067097491</v>
      </c>
      <c r="J27" s="43" t="n">
        <f aca="false">STDEV(J15:J24)</f>
        <v>0.0629458166379284</v>
      </c>
      <c r="K27" s="43" t="n">
        <f aca="false">STDEV(K15:K24)</f>
        <v>0.0444510223001363</v>
      </c>
      <c r="O27" s="42" t="n">
        <f aca="false">STDEV(O15:O24)</f>
        <v>16.6319733578965</v>
      </c>
      <c r="P27" s="42" t="n">
        <f aca="false">STDEV(P15:P24)</f>
        <v>0.395135159075278</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W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0"/>
    <col collapsed="false" customWidth="true" hidden="false" outlineLevel="0" max="2" min="2" style="14" width="10"/>
    <col collapsed="false" customWidth="true" hidden="false" outlineLevel="0" max="5" min="3" style="14" width="12"/>
    <col collapsed="false" customWidth="true" hidden="false" outlineLevel="0" max="6" min="6" style="14" width="13"/>
    <col collapsed="false" customWidth="true" hidden="false" outlineLevel="0" max="7" min="7" style="14" width="12"/>
    <col collapsed="false" customWidth="true" hidden="false" outlineLevel="0" max="9" min="8" style="14" width="13"/>
    <col collapsed="false" customWidth="true" hidden="false" outlineLevel="0" max="10" min="10" style="14" width="10"/>
    <col collapsed="false" customWidth="true" hidden="false" outlineLevel="0" max="12" min="11" style="14" width="9"/>
    <col collapsed="false" customWidth="true" hidden="false" outlineLevel="0" max="13" min="13" style="14" width="11"/>
    <col collapsed="false" customWidth="true" hidden="false" outlineLevel="0" max="14" min="14" style="14" width="12"/>
    <col collapsed="false" customWidth="true" hidden="false" outlineLevel="0" max="15" min="15" style="14" width="11"/>
    <col collapsed="false" customWidth="true" hidden="false" outlineLevel="0" max="16" min="16" style="14" width="10"/>
    <col collapsed="false" customWidth="true" hidden="false" outlineLevel="0" max="23" min="17" style="0" width="13"/>
  </cols>
  <sheetData>
    <row r="1" customFormat="false" ht="17.25" hidden="false" customHeight="true" outlineLevel="0" collapsed="false">
      <c r="A1" s="15" t="s">
        <v>170</v>
      </c>
      <c r="B1" s="15"/>
      <c r="C1" s="15"/>
      <c r="D1" s="15"/>
      <c r="E1" s="15"/>
      <c r="F1" s="15"/>
      <c r="G1" s="15"/>
      <c r="H1" s="15"/>
      <c r="I1" s="15"/>
      <c r="J1" s="15"/>
      <c r="K1" s="15"/>
      <c r="L1" s="15"/>
      <c r="M1" s="15"/>
      <c r="N1" s="15"/>
      <c r="O1" s="15"/>
      <c r="P1" s="15"/>
    </row>
    <row r="2" customFormat="false" ht="27.75" hidden="false" customHeight="true" outlineLevel="0" collapsed="false">
      <c r="A2" s="16" t="s">
        <v>171</v>
      </c>
      <c r="B2" s="16"/>
      <c r="C2" s="16"/>
      <c r="D2" s="16"/>
      <c r="E2" s="16"/>
      <c r="F2" s="16"/>
      <c r="G2" s="16"/>
      <c r="H2" s="16"/>
      <c r="I2" s="16"/>
      <c r="J2" s="16"/>
      <c r="K2" s="16"/>
      <c r="L2" s="16"/>
      <c r="M2" s="16"/>
      <c r="N2" s="16"/>
      <c r="O2" s="16"/>
      <c r="P2" s="16"/>
    </row>
    <row r="3" customFormat="false" ht="15" hidden="false" customHeight="false" outlineLevel="0" collapsed="false">
      <c r="S3" s="44" t="s">
        <v>172</v>
      </c>
      <c r="T3" s="44"/>
      <c r="U3" s="44"/>
      <c r="V3" s="44"/>
      <c r="W3" s="44"/>
    </row>
    <row r="4" customFormat="false" ht="42" hidden="false" customHeight="true" outlineLevel="0" collapsed="false">
      <c r="A4" s="17" t="s">
        <v>46</v>
      </c>
      <c r="B4" s="17" t="s">
        <v>88</v>
      </c>
      <c r="C4" s="17" t="s">
        <v>49</v>
      </c>
      <c r="D4" s="17" t="s">
        <v>89</v>
      </c>
      <c r="E4" s="17" t="s">
        <v>51</v>
      </c>
      <c r="F4" s="17" t="s">
        <v>90</v>
      </c>
      <c r="G4" s="17" t="s">
        <v>54</v>
      </c>
      <c r="H4" s="17" t="s">
        <v>55</v>
      </c>
      <c r="I4" s="17" t="s">
        <v>91</v>
      </c>
      <c r="J4" s="17" t="s">
        <v>92</v>
      </c>
      <c r="K4" s="17" t="s">
        <v>93</v>
      </c>
      <c r="L4" s="17" t="s">
        <v>94</v>
      </c>
      <c r="M4" s="17" t="s">
        <v>95</v>
      </c>
      <c r="N4" s="17" t="s">
        <v>96</v>
      </c>
      <c r="O4" s="17" t="s">
        <v>97</v>
      </c>
      <c r="P4" s="17" t="s">
        <v>57</v>
      </c>
      <c r="Q4" s="17" t="s">
        <v>173</v>
      </c>
      <c r="R4" s="17" t="s">
        <v>174</v>
      </c>
      <c r="S4" s="17" t="s">
        <v>175</v>
      </c>
      <c r="T4" s="17" t="s">
        <v>176</v>
      </c>
      <c r="U4" s="17" t="s">
        <v>177</v>
      </c>
      <c r="V4" s="17" t="s">
        <v>178</v>
      </c>
      <c r="W4" s="17" t="s">
        <v>179</v>
      </c>
    </row>
    <row r="5" customFormat="false" ht="15" hidden="false" customHeight="true" outlineLevel="0" collapsed="false">
      <c r="A5" s="18" t="s">
        <v>60</v>
      </c>
      <c r="B5" s="18" t="s">
        <v>99</v>
      </c>
      <c r="C5" s="28" t="n">
        <f aca="false">'Raw Data'!D6</f>
        <v>1961</v>
      </c>
      <c r="D5" s="28" t="n">
        <f aca="false">'Raw Data'!E6</f>
        <v>356</v>
      </c>
      <c r="E5" s="28" t="n">
        <f aca="false">'Raw Data'!F6</f>
        <v>156</v>
      </c>
      <c r="F5" s="28" t="n">
        <f aca="false">'Raw Data'!G6+'Raw Data'!H6</f>
        <v>981</v>
      </c>
      <c r="G5" s="28" t="n">
        <f aca="false">'Raw Data'!I6</f>
        <v>590</v>
      </c>
      <c r="H5" s="28" t="n">
        <f aca="false">'Raw Data'!J6</f>
        <v>1730</v>
      </c>
      <c r="I5" s="28" t="n">
        <f aca="false">'Raw Data'!K6</f>
        <v>894</v>
      </c>
      <c r="J5" s="29" t="n">
        <f aca="false">G5/F5</f>
        <v>0.601427115188583</v>
      </c>
      <c r="K5" s="30" t="n">
        <f aca="false">E5/F5</f>
        <v>0.159021406727829</v>
      </c>
      <c r="L5" s="30" t="n">
        <f aca="false">E5/H5</f>
        <v>0.0901734104046243</v>
      </c>
      <c r="M5" s="31" t="n">
        <f aca="false">LN(H5)</f>
        <v>7.45587668749182</v>
      </c>
      <c r="N5" s="30" t="n">
        <f aca="false">(C5-'Raw Data'!D5)/'Raw Data'!D5</f>
        <v>-0.0572115384615385</v>
      </c>
      <c r="O5" s="30" t="n">
        <f aca="false">I5/H5</f>
        <v>0.516763005780347</v>
      </c>
      <c r="P5" s="29" t="n">
        <f aca="false">'Raw Data'!L6</f>
        <v>4.14</v>
      </c>
      <c r="Q5" s="29" t="n">
        <f aca="false">'Raw Data'!M6/'Raw Data'!N6</f>
        <v>4.7375</v>
      </c>
      <c r="R5" s="45" t="n">
        <f aca="false">IF(OR(B5="FY19-20",B5="FY20-21"),1,0)</f>
        <v>0</v>
      </c>
      <c r="S5" s="29" t="n">
        <f aca="false">J5</f>
        <v>0.601427115188583</v>
      </c>
      <c r="T5" s="31" t="n">
        <f aca="false">M5</f>
        <v>7.45587668749182</v>
      </c>
      <c r="U5" s="30" t="n">
        <f aca="false">N5</f>
        <v>-0.0572115384615385</v>
      </c>
      <c r="V5" s="30" t="n">
        <f aca="false">O5</f>
        <v>0.516763005780347</v>
      </c>
      <c r="W5" s="45" t="n">
        <f aca="false">R5</f>
        <v>0</v>
      </c>
    </row>
    <row r="6" customFormat="false" ht="15" hidden="false" customHeight="true" outlineLevel="0" collapsed="false">
      <c r="A6" s="18" t="s">
        <v>60</v>
      </c>
      <c r="B6" s="18" t="s">
        <v>100</v>
      </c>
      <c r="C6" s="28" t="n">
        <f aca="false">'Raw Data'!D7</f>
        <v>2219</v>
      </c>
      <c r="D6" s="28" t="n">
        <f aca="false">'Raw Data'!E7</f>
        <v>446</v>
      </c>
      <c r="E6" s="28" t="n">
        <f aca="false">'Raw Data'!F7</f>
        <v>238</v>
      </c>
      <c r="F6" s="28" t="n">
        <f aca="false">'Raw Data'!G7+'Raw Data'!H7</f>
        <v>1118</v>
      </c>
      <c r="G6" s="28" t="n">
        <f aca="false">'Raw Data'!I7</f>
        <v>491</v>
      </c>
      <c r="H6" s="28" t="n">
        <f aca="false">'Raw Data'!J7</f>
        <v>1800</v>
      </c>
      <c r="I6" s="28" t="n">
        <f aca="false">'Raw Data'!K7</f>
        <v>918</v>
      </c>
      <c r="J6" s="29" t="n">
        <f aca="false">G6/F6</f>
        <v>0.4391771019678</v>
      </c>
      <c r="K6" s="30" t="n">
        <f aca="false">E6/F6</f>
        <v>0.212880143112701</v>
      </c>
      <c r="L6" s="30" t="n">
        <f aca="false">E6/H6</f>
        <v>0.132222222222222</v>
      </c>
      <c r="M6" s="31" t="n">
        <f aca="false">LN(H6)</f>
        <v>7.49554194388426</v>
      </c>
      <c r="N6" s="30" t="n">
        <f aca="false">(C6-'Raw Data'!D6)/'Raw Data'!D6</f>
        <v>0.131565527791943</v>
      </c>
      <c r="O6" s="30" t="n">
        <f aca="false">I6/H6</f>
        <v>0.51</v>
      </c>
      <c r="P6" s="29" t="n">
        <f aca="false">'Raw Data'!L7</f>
        <v>6.45</v>
      </c>
      <c r="Q6" s="29" t="n">
        <f aca="false">'Raw Data'!M7/'Raw Data'!N7</f>
        <v>4.15706806282723</v>
      </c>
      <c r="R6" s="45" t="n">
        <f aca="false">IF(OR(B6="FY19-20",B6="FY20-21"),1,0)</f>
        <v>0</v>
      </c>
      <c r="S6" s="29" t="n">
        <f aca="false">J6</f>
        <v>0.4391771019678</v>
      </c>
      <c r="T6" s="31" t="n">
        <f aca="false">M6</f>
        <v>7.49554194388426</v>
      </c>
      <c r="U6" s="30" t="n">
        <f aca="false">N6</f>
        <v>0.131565527791943</v>
      </c>
      <c r="V6" s="30" t="n">
        <f aca="false">O6</f>
        <v>0.51</v>
      </c>
      <c r="W6" s="45" t="n">
        <f aca="false">R6</f>
        <v>0</v>
      </c>
    </row>
    <row r="7" customFormat="false" ht="15" hidden="false" customHeight="true" outlineLevel="0" collapsed="false">
      <c r="A7" s="18" t="s">
        <v>60</v>
      </c>
      <c r="B7" s="18" t="s">
        <v>101</v>
      </c>
      <c r="C7" s="28" t="n">
        <f aca="false">'Raw Data'!D8</f>
        <v>2512</v>
      </c>
      <c r="D7" s="28" t="n">
        <f aca="false">'Raw Data'!E8</f>
        <v>429</v>
      </c>
      <c r="E7" s="28" t="n">
        <f aca="false">'Raw Data'!F8</f>
        <v>225</v>
      </c>
      <c r="F7" s="28" t="n">
        <f aca="false">'Raw Data'!G8+'Raw Data'!H8</f>
        <v>1337</v>
      </c>
      <c r="G7" s="28" t="n">
        <f aca="false">'Raw Data'!I8</f>
        <v>346</v>
      </c>
      <c r="H7" s="28" t="n">
        <f aca="false">'Raw Data'!J8</f>
        <v>1930</v>
      </c>
      <c r="I7" s="28" t="n">
        <f aca="false">'Raw Data'!K8</f>
        <v>865</v>
      </c>
      <c r="J7" s="29" t="n">
        <f aca="false">G7/F7</f>
        <v>0.258788332086761</v>
      </c>
      <c r="K7" s="30" t="n">
        <f aca="false">E7/F7</f>
        <v>0.168287210172027</v>
      </c>
      <c r="L7" s="30" t="n">
        <f aca="false">E7/H7</f>
        <v>0.116580310880829</v>
      </c>
      <c r="M7" s="31" t="n">
        <f aca="false">LN(H7)</f>
        <v>7.56527528189893</v>
      </c>
      <c r="N7" s="30" t="n">
        <f aca="false">(C7-'Raw Data'!D7)/'Raw Data'!D7</f>
        <v>0.13204146011717</v>
      </c>
      <c r="O7" s="30" t="n">
        <f aca="false">I7/H7</f>
        <v>0.448186528497409</v>
      </c>
      <c r="P7" s="29" t="n">
        <f aca="false">'Raw Data'!L8</f>
        <v>6.09</v>
      </c>
      <c r="Q7" s="29" t="n">
        <f aca="false">'Raw Data'!M8/'Raw Data'!N8</f>
        <v>3.94736842105263</v>
      </c>
      <c r="R7" s="45" t="n">
        <f aca="false">IF(OR(B7="FY19-20",B7="FY20-21"),1,0)</f>
        <v>0</v>
      </c>
      <c r="S7" s="29" t="n">
        <f aca="false">J7</f>
        <v>0.258788332086761</v>
      </c>
      <c r="T7" s="31" t="n">
        <f aca="false">M7</f>
        <v>7.56527528189893</v>
      </c>
      <c r="U7" s="30" t="n">
        <f aca="false">N7</f>
        <v>0.13204146011717</v>
      </c>
      <c r="V7" s="30" t="n">
        <f aca="false">O7</f>
        <v>0.448186528497409</v>
      </c>
      <c r="W7" s="45" t="n">
        <f aca="false">R7</f>
        <v>0</v>
      </c>
    </row>
    <row r="8" customFormat="false" ht="15" hidden="false" customHeight="true" outlineLevel="0" collapsed="false">
      <c r="A8" s="18" t="s">
        <v>60</v>
      </c>
      <c r="B8" s="18" t="s">
        <v>102</v>
      </c>
      <c r="C8" s="28" t="n">
        <f aca="false">'Raw Data'!D9</f>
        <v>2979</v>
      </c>
      <c r="D8" s="28" t="n">
        <f aca="false">'Raw Data'!E9</f>
        <v>507</v>
      </c>
      <c r="E8" s="28" t="n">
        <f aca="false">'Raw Data'!F9</f>
        <v>289</v>
      </c>
      <c r="F8" s="28" t="n">
        <f aca="false">'Raw Data'!G9+'Raw Data'!H9</f>
        <v>1511</v>
      </c>
      <c r="G8" s="28" t="n">
        <f aca="false">'Raw Data'!I9</f>
        <v>654</v>
      </c>
      <c r="H8" s="28" t="n">
        <f aca="false">'Raw Data'!J9</f>
        <v>2397</v>
      </c>
      <c r="I8" s="28" t="n">
        <f aca="false">'Raw Data'!K9</f>
        <v>798</v>
      </c>
      <c r="J8" s="29" t="n">
        <f aca="false">G8/F8</f>
        <v>0.43282594308405</v>
      </c>
      <c r="K8" s="30" t="n">
        <f aca="false">E8/F8</f>
        <v>0.191264063534083</v>
      </c>
      <c r="L8" s="30" t="n">
        <f aca="false">E8/H8</f>
        <v>0.120567375886525</v>
      </c>
      <c r="M8" s="31" t="n">
        <f aca="false">LN(H8)</f>
        <v>7.78197323443439</v>
      </c>
      <c r="N8" s="30" t="n">
        <f aca="false">(C8-'Raw Data'!D8)/'Raw Data'!D8</f>
        <v>0.185907643312102</v>
      </c>
      <c r="O8" s="30" t="n">
        <f aca="false">I8/H8</f>
        <v>0.332916145181477</v>
      </c>
      <c r="P8" s="29" t="n">
        <f aca="false">'Raw Data'!L9</f>
        <v>7.97</v>
      </c>
      <c r="Q8" s="29" t="n">
        <f aca="false">'Raw Data'!M9/'Raw Data'!N9</f>
        <v>6.54741379310345</v>
      </c>
      <c r="R8" s="45" t="n">
        <f aca="false">IF(OR(B8="FY19-20",B8="FY20-21"),1,0)</f>
        <v>0</v>
      </c>
      <c r="S8" s="29" t="n">
        <f aca="false">J8</f>
        <v>0.43282594308405</v>
      </c>
      <c r="T8" s="31" t="n">
        <f aca="false">M8</f>
        <v>7.78197323443439</v>
      </c>
      <c r="U8" s="30" t="n">
        <f aca="false">N8</f>
        <v>0.185907643312102</v>
      </c>
      <c r="V8" s="30" t="n">
        <f aca="false">O8</f>
        <v>0.332916145181477</v>
      </c>
      <c r="W8" s="45" t="n">
        <f aca="false">R8</f>
        <v>0</v>
      </c>
    </row>
    <row r="9" customFormat="false" ht="15" hidden="false" customHeight="true" outlineLevel="0" collapsed="false">
      <c r="A9" s="18" t="s">
        <v>60</v>
      </c>
      <c r="B9" s="18" t="s">
        <v>103</v>
      </c>
      <c r="C9" s="28" t="n">
        <f aca="false">'Raw Data'!D10</f>
        <v>2898</v>
      </c>
      <c r="D9" s="28" t="n">
        <f aca="false">'Raw Data'!E10</f>
        <v>475</v>
      </c>
      <c r="E9" s="28" t="n">
        <f aca="false">'Raw Data'!F10</f>
        <v>295</v>
      </c>
      <c r="F9" s="28" t="n">
        <f aca="false">'Raw Data'!G10+'Raw Data'!H10</f>
        <v>1504</v>
      </c>
      <c r="G9" s="28" t="n">
        <f aca="false">'Raw Data'!I10</f>
        <v>472</v>
      </c>
      <c r="H9" s="28" t="n">
        <f aca="false">'Raw Data'!J10</f>
        <v>2187</v>
      </c>
      <c r="I9" s="28" t="n">
        <f aca="false">'Raw Data'!K10</f>
        <v>873</v>
      </c>
      <c r="J9" s="29" t="n">
        <f aca="false">G9/F9</f>
        <v>0.313829787234043</v>
      </c>
      <c r="K9" s="30" t="n">
        <f aca="false">E9/F9</f>
        <v>0.196143617021277</v>
      </c>
      <c r="L9" s="30" t="n">
        <f aca="false">E9/H9</f>
        <v>0.134887974394147</v>
      </c>
      <c r="M9" s="31" t="n">
        <f aca="false">LN(H9)</f>
        <v>7.69028602067677</v>
      </c>
      <c r="N9" s="30" t="n">
        <f aca="false">(C9-'Raw Data'!D9)/'Raw Data'!D9</f>
        <v>-0.027190332326284</v>
      </c>
      <c r="O9" s="30" t="n">
        <f aca="false">I9/H9</f>
        <v>0.39917695473251</v>
      </c>
      <c r="P9" s="29" t="n">
        <f aca="false">'Raw Data'!L10</f>
        <v>8.56</v>
      </c>
      <c r="Q9" s="29" t="n">
        <f aca="false">'Raw Data'!M10/'Raw Data'!N10</f>
        <v>5.80568720379147</v>
      </c>
      <c r="R9" s="45" t="n">
        <f aca="false">IF(OR(B9="FY19-20",B9="FY20-21"),1,0)</f>
        <v>1</v>
      </c>
      <c r="S9" s="29" t="n">
        <f aca="false">J9</f>
        <v>0.313829787234043</v>
      </c>
      <c r="T9" s="31" t="n">
        <f aca="false">M9</f>
        <v>7.69028602067677</v>
      </c>
      <c r="U9" s="30" t="n">
        <f aca="false">N9</f>
        <v>-0.027190332326284</v>
      </c>
      <c r="V9" s="30" t="n">
        <f aca="false">O9</f>
        <v>0.39917695473251</v>
      </c>
      <c r="W9" s="45" t="n">
        <f aca="false">R9</f>
        <v>1</v>
      </c>
    </row>
    <row r="10" customFormat="false" ht="15" hidden="false" customHeight="true" outlineLevel="0" collapsed="false">
      <c r="A10" s="18" t="s">
        <v>60</v>
      </c>
      <c r="B10" s="18" t="s">
        <v>104</v>
      </c>
      <c r="C10" s="28" t="n">
        <f aca="false">'Raw Data'!D11</f>
        <v>2954</v>
      </c>
      <c r="D10" s="28" t="n">
        <f aca="false">'Raw Data'!E11</f>
        <v>664</v>
      </c>
      <c r="E10" s="28" t="n">
        <f aca="false">'Raw Data'!F11</f>
        <v>433</v>
      </c>
      <c r="F10" s="28" t="n">
        <f aca="false">'Raw Data'!G11+'Raw Data'!H11</f>
        <v>1906</v>
      </c>
      <c r="G10" s="28" t="n">
        <f aca="false">'Raw Data'!I11</f>
        <v>317</v>
      </c>
      <c r="H10" s="28" t="n">
        <f aca="false">'Raw Data'!J11</f>
        <v>2485</v>
      </c>
      <c r="I10" s="28" t="n">
        <f aca="false">'Raw Data'!K11</f>
        <v>815</v>
      </c>
      <c r="J10" s="29" t="n">
        <f aca="false">G10/F10</f>
        <v>0.166316894018888</v>
      </c>
      <c r="K10" s="30" t="n">
        <f aca="false">E10/F10</f>
        <v>0.227177334732424</v>
      </c>
      <c r="L10" s="30" t="n">
        <f aca="false">E10/H10</f>
        <v>0.174245472837022</v>
      </c>
      <c r="M10" s="31" t="n">
        <f aca="false">LN(H10)</f>
        <v>7.81802793853073</v>
      </c>
      <c r="N10" s="30" t="n">
        <f aca="false">(C10-'Raw Data'!D10)/'Raw Data'!D10</f>
        <v>0.0193236714975845</v>
      </c>
      <c r="O10" s="30" t="n">
        <f aca="false">I10/H10</f>
        <v>0.327967806841046</v>
      </c>
      <c r="P10" s="29" t="n">
        <f aca="false">'Raw Data'!L11</f>
        <v>12.57</v>
      </c>
      <c r="Q10" s="29" t="n">
        <f aca="false">'Raw Data'!M11/'Raw Data'!N11</f>
        <v>4.77099236641221</v>
      </c>
      <c r="R10" s="45" t="n">
        <f aca="false">IF(OR(B10="FY19-20",B10="FY20-21"),1,0)</f>
        <v>1</v>
      </c>
      <c r="S10" s="29" t="n">
        <f aca="false">J10</f>
        <v>0.166316894018888</v>
      </c>
      <c r="T10" s="31" t="n">
        <f aca="false">M10</f>
        <v>7.81802793853073</v>
      </c>
      <c r="U10" s="30" t="n">
        <f aca="false">N10</f>
        <v>0.0193236714975845</v>
      </c>
      <c r="V10" s="30" t="n">
        <f aca="false">O10</f>
        <v>0.327967806841046</v>
      </c>
      <c r="W10" s="45" t="n">
        <f aca="false">R10</f>
        <v>1</v>
      </c>
    </row>
    <row r="11" customFormat="false" ht="15" hidden="false" customHeight="true" outlineLevel="0" collapsed="false">
      <c r="A11" s="18" t="s">
        <v>60</v>
      </c>
      <c r="B11" s="18" t="s">
        <v>105</v>
      </c>
      <c r="C11" s="28" t="n">
        <f aca="false">'Raw Data'!D12</f>
        <v>4074</v>
      </c>
      <c r="D11" s="28" t="n">
        <f aca="false">'Raw Data'!E12</f>
        <v>984</v>
      </c>
      <c r="E11" s="28" t="n">
        <f aca="false">'Raw Data'!F12</f>
        <v>731</v>
      </c>
      <c r="F11" s="28" t="n">
        <f aca="false">'Raw Data'!G12+'Raw Data'!H12</f>
        <v>2632</v>
      </c>
      <c r="G11" s="28" t="n">
        <f aca="false">'Raw Data'!I12</f>
        <v>418</v>
      </c>
      <c r="H11" s="28" t="n">
        <f aca="false">'Raw Data'!J12</f>
        <v>3359</v>
      </c>
      <c r="I11" s="28" t="n">
        <f aca="false">'Raw Data'!K12</f>
        <v>850</v>
      </c>
      <c r="J11" s="29" t="n">
        <f aca="false">G11/F11</f>
        <v>0.158814589665653</v>
      </c>
      <c r="K11" s="30" t="n">
        <f aca="false">E11/F11</f>
        <v>0.27773556231003</v>
      </c>
      <c r="L11" s="30" t="n">
        <f aca="false">E11/H11</f>
        <v>0.217624292944329</v>
      </c>
      <c r="M11" s="31" t="n">
        <f aca="false">LN(H11)</f>
        <v>8.11939858961229</v>
      </c>
      <c r="N11" s="30" t="n">
        <f aca="false">(C11-'Raw Data'!D11)/'Raw Data'!D11</f>
        <v>0.37914691943128</v>
      </c>
      <c r="O11" s="30" t="n">
        <f aca="false">I11/H11</f>
        <v>0.253051503423638</v>
      </c>
      <c r="P11" s="29" t="n">
        <f aca="false">'Raw Data'!L12</f>
        <v>21.24</v>
      </c>
      <c r="Q11" s="29" t="n">
        <f aca="false">'Raw Data'!M12/'Raw Data'!N12</f>
        <v>5.35922330097087</v>
      </c>
      <c r="R11" s="45" t="n">
        <f aca="false">IF(OR(B11="FY19-20",B11="FY20-21"),1,0)</f>
        <v>0</v>
      </c>
      <c r="S11" s="29" t="n">
        <f aca="false">J11</f>
        <v>0.158814589665653</v>
      </c>
      <c r="T11" s="31" t="n">
        <f aca="false">M11</f>
        <v>8.11939858961229</v>
      </c>
      <c r="U11" s="30" t="n">
        <f aca="false">N11</f>
        <v>0.37914691943128</v>
      </c>
      <c r="V11" s="30" t="n">
        <f aca="false">O11</f>
        <v>0.253051503423638</v>
      </c>
      <c r="W11" s="45" t="n">
        <f aca="false">R11</f>
        <v>0</v>
      </c>
    </row>
    <row r="12" customFormat="false" ht="15" hidden="false" customHeight="true" outlineLevel="0" collapsed="false">
      <c r="A12" s="18" t="s">
        <v>60</v>
      </c>
      <c r="B12" s="18" t="s">
        <v>106</v>
      </c>
      <c r="C12" s="28" t="n">
        <f aca="false">'Raw Data'!D13</f>
        <v>4740</v>
      </c>
      <c r="D12" s="28" t="n">
        <f aca="false">'Raw Data'!E13</f>
        <v>799</v>
      </c>
      <c r="E12" s="28" t="n">
        <f aca="false">'Raw Data'!F13</f>
        <v>635</v>
      </c>
      <c r="F12" s="28" t="n">
        <f aca="false">'Raw Data'!G13+'Raw Data'!H13</f>
        <v>2973</v>
      </c>
      <c r="G12" s="28" t="n">
        <f aca="false">'Raw Data'!I13</f>
        <v>498</v>
      </c>
      <c r="H12" s="28" t="n">
        <f aca="false">'Raw Data'!J13</f>
        <v>3874</v>
      </c>
      <c r="I12" s="28" t="n">
        <f aca="false">'Raw Data'!K13</f>
        <v>971</v>
      </c>
      <c r="J12" s="29" t="n">
        <f aca="false">G12/F12</f>
        <v>0.167507568113017</v>
      </c>
      <c r="K12" s="30" t="n">
        <f aca="false">E12/F12</f>
        <v>0.213588967373024</v>
      </c>
      <c r="L12" s="30" t="n">
        <f aca="false">E12/H12</f>
        <v>0.163913267940114</v>
      </c>
      <c r="M12" s="31" t="n">
        <f aca="false">LN(H12)</f>
        <v>8.26204284396694</v>
      </c>
      <c r="N12" s="30" t="n">
        <f aca="false">(C12-'Raw Data'!D12)/'Raw Data'!D12</f>
        <v>0.163475699558174</v>
      </c>
      <c r="O12" s="30" t="n">
        <f aca="false">I12/H12</f>
        <v>0.250645327826536</v>
      </c>
      <c r="P12" s="29" t="n">
        <f aca="false">'Raw Data'!L13</f>
        <v>18.58</v>
      </c>
      <c r="Q12" s="29" t="n">
        <f aca="false">'Raw Data'!M13/'Raw Data'!N13</f>
        <v>5.00744416873449</v>
      </c>
      <c r="R12" s="45" t="n">
        <f aca="false">IF(OR(B12="FY19-20",B12="FY20-21"),1,0)</f>
        <v>0</v>
      </c>
      <c r="S12" s="29" t="n">
        <f aca="false">J12</f>
        <v>0.167507568113017</v>
      </c>
      <c r="T12" s="31" t="n">
        <f aca="false">M12</f>
        <v>8.26204284396694</v>
      </c>
      <c r="U12" s="30" t="n">
        <f aca="false">N12</f>
        <v>0.163475699558174</v>
      </c>
      <c r="V12" s="30" t="n">
        <f aca="false">O12</f>
        <v>0.250645327826536</v>
      </c>
      <c r="W12" s="45" t="n">
        <f aca="false">R12</f>
        <v>0</v>
      </c>
    </row>
    <row r="13" customFormat="false" ht="15" hidden="false" customHeight="true" outlineLevel="0" collapsed="false">
      <c r="A13" s="18" t="s">
        <v>60</v>
      </c>
      <c r="B13" s="18" t="s">
        <v>107</v>
      </c>
      <c r="C13" s="28" t="n">
        <f aca="false">'Raw Data'!D14</f>
        <v>4054</v>
      </c>
      <c r="D13" s="28" t="n">
        <f aca="false">'Raw Data'!E14</f>
        <v>595</v>
      </c>
      <c r="E13" s="28" t="n">
        <f aca="false">'Raw Data'!F14</f>
        <v>555</v>
      </c>
      <c r="F13" s="28" t="n">
        <f aca="false">'Raw Data'!G14+'Raw Data'!H14</f>
        <v>3374</v>
      </c>
      <c r="G13" s="28" t="n">
        <f aca="false">'Raw Data'!I14</f>
        <v>287</v>
      </c>
      <c r="H13" s="28" t="n">
        <f aca="false">'Raw Data'!J14</f>
        <v>3919</v>
      </c>
      <c r="I13" s="28" t="n">
        <f aca="false">'Raw Data'!K14</f>
        <v>1070</v>
      </c>
      <c r="J13" s="29" t="n">
        <f aca="false">G13/F13</f>
        <v>0.0850622406639004</v>
      </c>
      <c r="K13" s="30" t="n">
        <f aca="false">E13/F13</f>
        <v>0.164493183165382</v>
      </c>
      <c r="L13" s="30" t="n">
        <f aca="false">E13/H13</f>
        <v>0.141617759632559</v>
      </c>
      <c r="M13" s="31" t="n">
        <f aca="false">LN(H13)</f>
        <v>8.27359179819963</v>
      </c>
      <c r="N13" s="30" t="n">
        <f aca="false">(C13-'Raw Data'!D13)/'Raw Data'!D13</f>
        <v>-0.144725738396624</v>
      </c>
      <c r="O13" s="30" t="n">
        <f aca="false">I13/H13</f>
        <v>0.273028833886196</v>
      </c>
      <c r="P13" s="29" t="n">
        <f aca="false">'Raw Data'!L14</f>
        <v>16.23</v>
      </c>
      <c r="Q13" s="29" t="n">
        <f aca="false">'Raw Data'!M14/'Raw Data'!N14</f>
        <v>8.09302325581395</v>
      </c>
      <c r="R13" s="45" t="n">
        <f aca="false">IF(OR(B13="FY19-20",B13="FY20-21"),1,0)</f>
        <v>0</v>
      </c>
      <c r="S13" s="29" t="n">
        <f aca="false">J13</f>
        <v>0.0850622406639004</v>
      </c>
      <c r="T13" s="31" t="n">
        <f aca="false">M13</f>
        <v>8.27359179819963</v>
      </c>
      <c r="U13" s="30" t="n">
        <f aca="false">N13</f>
        <v>-0.144725738396624</v>
      </c>
      <c r="V13" s="30" t="n">
        <f aca="false">O13</f>
        <v>0.273028833886196</v>
      </c>
      <c r="W13" s="45" t="n">
        <f aca="false">R13</f>
        <v>0</v>
      </c>
    </row>
    <row r="14" customFormat="false" ht="15" hidden="false" customHeight="true" outlineLevel="0" collapsed="false">
      <c r="A14" s="18" t="s">
        <v>60</v>
      </c>
      <c r="B14" s="18" t="s">
        <v>108</v>
      </c>
      <c r="C14" s="28" t="n">
        <f aca="false">'Raw Data'!D15</f>
        <v>4216</v>
      </c>
      <c r="D14" s="28" t="n">
        <f aca="false">'Raw Data'!E15</f>
        <v>764</v>
      </c>
      <c r="E14" s="28" t="n">
        <f aca="false">'Raw Data'!F15</f>
        <v>653</v>
      </c>
      <c r="F14" s="28" t="n">
        <f aca="false">'Raw Data'!G15+'Raw Data'!H15</f>
        <v>3856</v>
      </c>
      <c r="G14" s="28" t="n">
        <f aca="false">'Raw Data'!I15</f>
        <v>241</v>
      </c>
      <c r="H14" s="28" t="n">
        <f aca="false">'Raw Data'!J15</f>
        <v>4403</v>
      </c>
      <c r="I14" s="28" t="n">
        <f aca="false">'Raw Data'!K15</f>
        <v>1122</v>
      </c>
      <c r="J14" s="29" t="n">
        <f aca="false">G14/F14</f>
        <v>0.0625</v>
      </c>
      <c r="K14" s="30" t="n">
        <f aca="false">E14/F14</f>
        <v>0.169346473029046</v>
      </c>
      <c r="L14" s="30" t="n">
        <f aca="false">E14/H14</f>
        <v>0.148307971837384</v>
      </c>
      <c r="M14" s="31" t="n">
        <f aca="false">LN(H14)</f>
        <v>8.39004140575575</v>
      </c>
      <c r="N14" s="30" t="n">
        <f aca="false">(C14-'Raw Data'!D14)/'Raw Data'!D14</f>
        <v>0.0399605328071041</v>
      </c>
      <c r="O14" s="30" t="n">
        <f aca="false">I14/H14</f>
        <v>0.254826254826255</v>
      </c>
      <c r="P14" s="29" t="n">
        <f aca="false">'Raw Data'!L15</f>
        <v>19.11</v>
      </c>
      <c r="Q14" s="29" t="n">
        <f aca="false">'Raw Data'!M15/'Raw Data'!N15</f>
        <v>7.60130718954248</v>
      </c>
      <c r="R14" s="45" t="n">
        <f aca="false">IF(OR(B14="FY19-20",B14="FY20-21"),1,0)</f>
        <v>0</v>
      </c>
      <c r="S14" s="29" t="n">
        <f aca="false">J14</f>
        <v>0.0625</v>
      </c>
      <c r="T14" s="31" t="n">
        <f aca="false">M14</f>
        <v>8.39004140575575</v>
      </c>
      <c r="U14" s="30" t="n">
        <f aca="false">N14</f>
        <v>0.0399605328071041</v>
      </c>
      <c r="V14" s="30" t="n">
        <f aca="false">O14</f>
        <v>0.254826254826255</v>
      </c>
      <c r="W14" s="45" t="n">
        <f aca="false">R14</f>
        <v>0</v>
      </c>
    </row>
    <row r="15" customFormat="false" ht="15" hidden="false" customHeight="true" outlineLevel="0" collapsed="false">
      <c r="A15" s="21" t="s">
        <v>62</v>
      </c>
      <c r="B15" s="21" t="s">
        <v>99</v>
      </c>
      <c r="C15" s="32" t="n">
        <f aca="false">'Raw Data'!D17</f>
        <v>4885</v>
      </c>
      <c r="D15" s="32" t="n">
        <f aca="false">'Raw Data'!E17</f>
        <v>1275</v>
      </c>
      <c r="E15" s="32" t="n">
        <f aca="false">'Raw Data'!F17</f>
        <v>648</v>
      </c>
      <c r="F15" s="32" t="n">
        <f aca="false">'Raw Data'!G17+'Raw Data'!H17</f>
        <v>1899</v>
      </c>
      <c r="G15" s="32" t="n">
        <f aca="false">'Raw Data'!I17</f>
        <v>2566</v>
      </c>
      <c r="H15" s="32" t="n">
        <f aca="false">'Raw Data'!J17</f>
        <v>5362</v>
      </c>
      <c r="I15" s="32" t="n">
        <f aca="false">'Raw Data'!K17</f>
        <v>2830</v>
      </c>
      <c r="J15" s="33" t="n">
        <f aca="false">G15/F15</f>
        <v>1.35123749341759</v>
      </c>
      <c r="K15" s="34" t="n">
        <f aca="false">E15/F15</f>
        <v>0.341232227488152</v>
      </c>
      <c r="L15" s="34" t="n">
        <f aca="false">E15/H15</f>
        <v>0.120850428944424</v>
      </c>
      <c r="M15" s="35" t="n">
        <f aca="false">LN(H15)</f>
        <v>8.58709231879591</v>
      </c>
      <c r="N15" s="34" t="n">
        <f aca="false">(C15-'Raw Data'!D16)/'Raw Data'!D16</f>
        <v>0.112756264236902</v>
      </c>
      <c r="O15" s="34" t="n">
        <f aca="false">I15/H15</f>
        <v>0.527788138754196</v>
      </c>
      <c r="P15" s="33" t="n">
        <f aca="false">'Raw Data'!L17</f>
        <v>6.45</v>
      </c>
      <c r="Q15" s="33" t="n">
        <f aca="false">'Raw Data'!M17/'Raw Data'!N17</f>
        <v>2.0546875</v>
      </c>
      <c r="R15" s="46" t="n">
        <f aca="false">IF(OR(B15="FY19-20",B15="FY20-21"),1,0)</f>
        <v>0</v>
      </c>
      <c r="S15" s="33" t="n">
        <f aca="false">J15</f>
        <v>1.35123749341759</v>
      </c>
      <c r="T15" s="35" t="n">
        <f aca="false">M15</f>
        <v>8.58709231879591</v>
      </c>
      <c r="U15" s="34" t="n">
        <f aca="false">N15</f>
        <v>0.112756264236902</v>
      </c>
      <c r="V15" s="34" t="n">
        <f aca="false">O15</f>
        <v>0.527788138754196</v>
      </c>
      <c r="W15" s="46" t="n">
        <f aca="false">R15</f>
        <v>0</v>
      </c>
    </row>
    <row r="16" customFormat="false" ht="15" hidden="false" customHeight="true" outlineLevel="0" collapsed="false">
      <c r="A16" s="21" t="s">
        <v>62</v>
      </c>
      <c r="B16" s="21" t="s">
        <v>100</v>
      </c>
      <c r="C16" s="32" t="n">
        <f aca="false">'Raw Data'!D18</f>
        <v>5639</v>
      </c>
      <c r="D16" s="32" t="n">
        <f aca="false">'Raw Data'!E18</f>
        <v>1370</v>
      </c>
      <c r="E16" s="32" t="n">
        <f aca="false">'Raw Data'!F18</f>
        <v>307</v>
      </c>
      <c r="F16" s="32" t="n">
        <f aca="false">'Raw Data'!G18+'Raw Data'!H18</f>
        <v>2201</v>
      </c>
      <c r="G16" s="32" t="n">
        <f aca="false">'Raw Data'!I18</f>
        <v>2738</v>
      </c>
      <c r="H16" s="32" t="n">
        <f aca="false">'Raw Data'!J18</f>
        <v>6248</v>
      </c>
      <c r="I16" s="32" t="n">
        <f aca="false">'Raw Data'!K18</f>
        <v>3057</v>
      </c>
      <c r="J16" s="33" t="n">
        <f aca="false">G16/F16</f>
        <v>1.24398000908678</v>
      </c>
      <c r="K16" s="34" t="n">
        <f aca="false">E16/F16</f>
        <v>0.139482053611995</v>
      </c>
      <c r="L16" s="34" t="n">
        <f aca="false">E16/H16</f>
        <v>0.0491357234314981</v>
      </c>
      <c r="M16" s="35" t="n">
        <f aca="false">LN(H16)</f>
        <v>8.74001669151952</v>
      </c>
      <c r="N16" s="34" t="n">
        <f aca="false">(C16-'Raw Data'!D17)/'Raw Data'!D17</f>
        <v>0.154350051177073</v>
      </c>
      <c r="O16" s="34" t="n">
        <f aca="false">I16/H16</f>
        <v>0.489276568501921</v>
      </c>
      <c r="P16" s="33" t="n">
        <f aca="false">'Raw Data'!L18</f>
        <v>3.05</v>
      </c>
      <c r="Q16" s="33" t="n">
        <f aca="false">'Raw Data'!M18/'Raw Data'!N18</f>
        <v>1.80810397553517</v>
      </c>
      <c r="R16" s="46" t="n">
        <f aca="false">IF(OR(B16="FY19-20",B16="FY20-21"),1,0)</f>
        <v>0</v>
      </c>
      <c r="S16" s="33" t="n">
        <f aca="false">J16</f>
        <v>1.24398000908678</v>
      </c>
      <c r="T16" s="35" t="n">
        <f aca="false">M16</f>
        <v>8.74001669151952</v>
      </c>
      <c r="U16" s="34" t="n">
        <f aca="false">N16</f>
        <v>0.154350051177073</v>
      </c>
      <c r="V16" s="34" t="n">
        <f aca="false">O16</f>
        <v>0.489276568501921</v>
      </c>
      <c r="W16" s="46" t="n">
        <f aca="false">R16</f>
        <v>0</v>
      </c>
    </row>
    <row r="17" customFormat="false" ht="15" hidden="false" customHeight="true" outlineLevel="0" collapsed="false">
      <c r="A17" s="21" t="s">
        <v>62</v>
      </c>
      <c r="B17" s="21" t="s">
        <v>101</v>
      </c>
      <c r="C17" s="32" t="n">
        <f aca="false">'Raw Data'!D19</f>
        <v>4977</v>
      </c>
      <c r="D17" s="32" t="n">
        <f aca="false">'Raw Data'!E19</f>
        <v>894</v>
      </c>
      <c r="E17" s="32" t="n">
        <f aca="false">'Raw Data'!F19</f>
        <v>304</v>
      </c>
      <c r="F17" s="32" t="n">
        <f aca="false">'Raw Data'!G19+'Raw Data'!H19</f>
        <v>2429</v>
      </c>
      <c r="G17" s="32" t="n">
        <f aca="false">'Raw Data'!I19</f>
        <v>2721</v>
      </c>
      <c r="H17" s="32" t="n">
        <f aca="false">'Raw Data'!J19</f>
        <v>6248</v>
      </c>
      <c r="I17" s="32" t="n">
        <f aca="false">'Raw Data'!K19</f>
        <v>2846</v>
      </c>
      <c r="J17" s="33" t="n">
        <f aca="false">G17/F17</f>
        <v>1.12021407986826</v>
      </c>
      <c r="K17" s="34" t="n">
        <f aca="false">E17/F17</f>
        <v>0.125154384520379</v>
      </c>
      <c r="L17" s="34" t="n">
        <f aca="false">E17/H17</f>
        <v>0.0486555697823304</v>
      </c>
      <c r="M17" s="35" t="n">
        <f aca="false">LN(H17)</f>
        <v>8.74001669151952</v>
      </c>
      <c r="N17" s="34" t="n">
        <f aca="false">(C17-'Raw Data'!D18)/'Raw Data'!D18</f>
        <v>-0.117396701542827</v>
      </c>
      <c r="O17" s="34" t="n">
        <f aca="false">I17/H17</f>
        <v>0.45550576184379</v>
      </c>
      <c r="P17" s="33" t="n">
        <f aca="false">'Raw Data'!L19</f>
        <v>3.03</v>
      </c>
      <c r="Q17" s="33" t="n">
        <f aca="false">'Raw Data'!M19/'Raw Data'!N19</f>
        <v>2.27479526842584</v>
      </c>
      <c r="R17" s="46" t="n">
        <f aca="false">IF(OR(B17="FY19-20",B17="FY20-21"),1,0)</f>
        <v>0</v>
      </c>
      <c r="S17" s="33" t="n">
        <f aca="false">J17</f>
        <v>1.12021407986826</v>
      </c>
      <c r="T17" s="35" t="n">
        <f aca="false">M17</f>
        <v>8.74001669151952</v>
      </c>
      <c r="U17" s="34" t="n">
        <f aca="false">N17</f>
        <v>-0.117396701542827</v>
      </c>
      <c r="V17" s="34" t="n">
        <f aca="false">O17</f>
        <v>0.45550576184379</v>
      </c>
      <c r="W17" s="46" t="n">
        <f aca="false">R17</f>
        <v>0</v>
      </c>
    </row>
    <row r="18" customFormat="false" ht="15" hidden="false" customHeight="true" outlineLevel="0" collapsed="false">
      <c r="A18" s="21" t="s">
        <v>62</v>
      </c>
      <c r="B18" s="21" t="s">
        <v>102</v>
      </c>
      <c r="C18" s="32" t="n">
        <f aca="false">'Raw Data'!D20</f>
        <v>5395</v>
      </c>
      <c r="D18" s="32" t="n">
        <f aca="false">'Raw Data'!E20</f>
        <v>795</v>
      </c>
      <c r="E18" s="32" t="n">
        <f aca="false">'Raw Data'!F20</f>
        <v>142</v>
      </c>
      <c r="F18" s="32" t="n">
        <f aca="false">'Raw Data'!G20+'Raw Data'!H20</f>
        <v>2489</v>
      </c>
      <c r="G18" s="32" t="n">
        <f aca="false">'Raw Data'!I20</f>
        <v>2510</v>
      </c>
      <c r="H18" s="32" t="n">
        <f aca="false">'Raw Data'!J20</f>
        <v>6264</v>
      </c>
      <c r="I18" s="32" t="n">
        <f aca="false">'Raw Data'!K20</f>
        <v>2654</v>
      </c>
      <c r="J18" s="33" t="n">
        <f aca="false">G18/F18</f>
        <v>1.00843712334271</v>
      </c>
      <c r="K18" s="34" t="n">
        <f aca="false">E18/F18</f>
        <v>0.0570510245078345</v>
      </c>
      <c r="L18" s="34" t="n">
        <f aca="false">E18/H18</f>
        <v>0.022669220945083</v>
      </c>
      <c r="M18" s="35" t="n">
        <f aca="false">LN(H18)</f>
        <v>8.74257423767064</v>
      </c>
      <c r="N18" s="34" t="n">
        <f aca="false">(C18-'Raw Data'!D19)/'Raw Data'!D19</f>
        <v>0.0839863371508941</v>
      </c>
      <c r="O18" s="34" t="n">
        <f aca="false">I18/H18</f>
        <v>0.423690932311622</v>
      </c>
      <c r="P18" s="33" t="n">
        <f aca="false">'Raw Data'!L20</f>
        <v>1.41</v>
      </c>
      <c r="Q18" s="33" t="n">
        <f aca="false">'Raw Data'!M20/'Raw Data'!N20</f>
        <v>2.00237341772152</v>
      </c>
      <c r="R18" s="46" t="n">
        <f aca="false">IF(OR(B18="FY19-20",B18="FY20-21"),1,0)</f>
        <v>0</v>
      </c>
      <c r="S18" s="33" t="n">
        <f aca="false">J18</f>
        <v>1.00843712334271</v>
      </c>
      <c r="T18" s="35" t="n">
        <f aca="false">M18</f>
        <v>8.74257423767064</v>
      </c>
      <c r="U18" s="34" t="n">
        <f aca="false">N18</f>
        <v>0.0839863371508941</v>
      </c>
      <c r="V18" s="34" t="n">
        <f aca="false">O18</f>
        <v>0.423690932311622</v>
      </c>
      <c r="W18" s="46" t="n">
        <f aca="false">R18</f>
        <v>0</v>
      </c>
    </row>
    <row r="19" customFormat="false" ht="15" hidden="false" customHeight="true" outlineLevel="0" collapsed="false">
      <c r="A19" s="21" t="s">
        <v>62</v>
      </c>
      <c r="B19" s="21" t="s">
        <v>103</v>
      </c>
      <c r="C19" s="32" t="n">
        <f aca="false">'Raw Data'!D21</f>
        <v>5324</v>
      </c>
      <c r="D19" s="32" t="n">
        <f aca="false">'Raw Data'!E21</f>
        <v>1009</v>
      </c>
      <c r="E19" s="32" t="n">
        <f aca="false">'Raw Data'!F21</f>
        <v>475</v>
      </c>
      <c r="F19" s="32" t="n">
        <f aca="false">'Raw Data'!G21+'Raw Data'!H21</f>
        <v>2807</v>
      </c>
      <c r="G19" s="32" t="n">
        <f aca="false">'Raw Data'!I21</f>
        <v>2275</v>
      </c>
      <c r="H19" s="32" t="n">
        <f aca="false">'Raw Data'!J21</f>
        <v>6221</v>
      </c>
      <c r="I19" s="32" t="n">
        <f aca="false">'Raw Data'!K21</f>
        <v>2385</v>
      </c>
      <c r="J19" s="33" t="n">
        <f aca="false">G19/F19</f>
        <v>0.810473815461347</v>
      </c>
      <c r="K19" s="34" t="n">
        <f aca="false">E19/F19</f>
        <v>0.169219807623798</v>
      </c>
      <c r="L19" s="34" t="n">
        <f aca="false">E19/H19</f>
        <v>0.0763542838771902</v>
      </c>
      <c r="M19" s="35" t="n">
        <f aca="false">LN(H19)</f>
        <v>8.73568594451502</v>
      </c>
      <c r="N19" s="34" t="n">
        <f aca="false">(C19-'Raw Data'!D20)/'Raw Data'!D20</f>
        <v>-0.0131603336422614</v>
      </c>
      <c r="O19" s="34" t="n">
        <f aca="false">I19/H19</f>
        <v>0.383378877993892</v>
      </c>
      <c r="P19" s="33" t="n">
        <f aca="false">'Raw Data'!L21</f>
        <v>4.73</v>
      </c>
      <c r="Q19" s="33" t="n">
        <f aca="false">'Raw Data'!M21/'Raw Data'!N21</f>
        <v>2.18261633011414</v>
      </c>
      <c r="R19" s="46" t="n">
        <f aca="false">IF(OR(B19="FY19-20",B19="FY20-21"),1,0)</f>
        <v>1</v>
      </c>
      <c r="S19" s="33" t="n">
        <f aca="false">J19</f>
        <v>0.810473815461347</v>
      </c>
      <c r="T19" s="35" t="n">
        <f aca="false">M19</f>
        <v>8.73568594451502</v>
      </c>
      <c r="U19" s="34" t="n">
        <f aca="false">N19</f>
        <v>-0.0131603336422614</v>
      </c>
      <c r="V19" s="34" t="n">
        <f aca="false">O19</f>
        <v>0.383378877993892</v>
      </c>
      <c r="W19" s="46" t="n">
        <f aca="false">R19</f>
        <v>1</v>
      </c>
    </row>
    <row r="20" customFormat="false" ht="15" hidden="false" customHeight="true" outlineLevel="0" collapsed="false">
      <c r="A20" s="21" t="s">
        <v>62</v>
      </c>
      <c r="B20" s="21" t="s">
        <v>104</v>
      </c>
      <c r="C20" s="32" t="n">
        <f aca="false">'Raw Data'!D22</f>
        <v>5956</v>
      </c>
      <c r="D20" s="32" t="n">
        <f aca="false">'Raw Data'!E22</f>
        <v>1084</v>
      </c>
      <c r="E20" s="32" t="n">
        <f aca="false">'Raw Data'!F22</f>
        <v>527</v>
      </c>
      <c r="F20" s="32" t="n">
        <f aca="false">'Raw Data'!G22+'Raw Data'!H22</f>
        <v>3338</v>
      </c>
      <c r="G20" s="32" t="n">
        <f aca="false">'Raw Data'!I22</f>
        <v>1409</v>
      </c>
      <c r="H20" s="32" t="n">
        <f aca="false">'Raw Data'!J22</f>
        <v>6098</v>
      </c>
      <c r="I20" s="32" t="n">
        <f aca="false">'Raw Data'!K22</f>
        <v>2158</v>
      </c>
      <c r="J20" s="33" t="n">
        <f aca="false">G20/F20</f>
        <v>0.422109047333733</v>
      </c>
      <c r="K20" s="34" t="n">
        <f aca="false">E20/F20</f>
        <v>0.15787896944278</v>
      </c>
      <c r="L20" s="34" t="n">
        <f aca="false">E20/H20</f>
        <v>0.0864217776320105</v>
      </c>
      <c r="M20" s="35" t="n">
        <f aca="false">LN(H20)</f>
        <v>8.7157161275482</v>
      </c>
      <c r="N20" s="34" t="n">
        <f aca="false">(C20-'Raw Data'!D21)/'Raw Data'!D21</f>
        <v>0.118707738542449</v>
      </c>
      <c r="O20" s="34" t="n">
        <f aca="false">I20/H20</f>
        <v>0.353886520170548</v>
      </c>
      <c r="P20" s="33" t="n">
        <f aca="false">'Raw Data'!L22</f>
        <v>5.24</v>
      </c>
      <c r="Q20" s="33" t="n">
        <f aca="false">'Raw Data'!M22/'Raw Data'!N22</f>
        <v>1.87259259259259</v>
      </c>
      <c r="R20" s="46" t="n">
        <f aca="false">IF(OR(B20="FY19-20",B20="FY20-21"),1,0)</f>
        <v>1</v>
      </c>
      <c r="S20" s="33" t="n">
        <f aca="false">J20</f>
        <v>0.422109047333733</v>
      </c>
      <c r="T20" s="35" t="n">
        <f aca="false">M20</f>
        <v>8.7157161275482</v>
      </c>
      <c r="U20" s="34" t="n">
        <f aca="false">N20</f>
        <v>0.118707738542449</v>
      </c>
      <c r="V20" s="34" t="n">
        <f aca="false">O20</f>
        <v>0.353886520170548</v>
      </c>
      <c r="W20" s="46" t="n">
        <f aca="false">R20</f>
        <v>1</v>
      </c>
    </row>
    <row r="21" customFormat="false" ht="15" hidden="false" customHeight="true" outlineLevel="0" collapsed="false">
      <c r="A21" s="21" t="s">
        <v>62</v>
      </c>
      <c r="B21" s="21" t="s">
        <v>105</v>
      </c>
      <c r="C21" s="32" t="n">
        <f aca="false">'Raw Data'!D23</f>
        <v>6703</v>
      </c>
      <c r="D21" s="32" t="n">
        <f aca="false">'Raw Data'!E23</f>
        <v>893</v>
      </c>
      <c r="E21" s="32" t="n">
        <f aca="false">'Raw Data'!F23</f>
        <v>392</v>
      </c>
      <c r="F21" s="32" t="n">
        <f aca="false">'Raw Data'!G23+'Raw Data'!H23</f>
        <v>3475</v>
      </c>
      <c r="G21" s="32" t="n">
        <f aca="false">'Raw Data'!I23</f>
        <v>1318</v>
      </c>
      <c r="H21" s="32" t="n">
        <f aca="false">'Raw Data'!J23</f>
        <v>6191</v>
      </c>
      <c r="I21" s="32" t="n">
        <f aca="false">'Raw Data'!K23</f>
        <v>2025</v>
      </c>
      <c r="J21" s="33" t="n">
        <f aca="false">G21/F21</f>
        <v>0.379280575539568</v>
      </c>
      <c r="K21" s="34" t="n">
        <f aca="false">E21/F21</f>
        <v>0.112805755395683</v>
      </c>
      <c r="L21" s="34" t="n">
        <f aca="false">E21/H21</f>
        <v>0.0633177192699079</v>
      </c>
      <c r="M21" s="35" t="n">
        <f aca="false">LN(H21)</f>
        <v>8.73085190351923</v>
      </c>
      <c r="N21" s="34" t="n">
        <f aca="false">(C21-'Raw Data'!D22)/'Raw Data'!D22</f>
        <v>0.125419744795165</v>
      </c>
      <c r="O21" s="34" t="n">
        <f aca="false">I21/H21</f>
        <v>0.327087707963172</v>
      </c>
      <c r="P21" s="33" t="n">
        <f aca="false">'Raw Data'!L23</f>
        <v>3.9</v>
      </c>
      <c r="Q21" s="33" t="n">
        <f aca="false">'Raw Data'!M23/'Raw Data'!N23</f>
        <v>1.62374821173104</v>
      </c>
      <c r="R21" s="46" t="n">
        <f aca="false">IF(OR(B21="FY19-20",B21="FY20-21"),1,0)</f>
        <v>0</v>
      </c>
      <c r="S21" s="33" t="n">
        <f aca="false">J21</f>
        <v>0.379280575539568</v>
      </c>
      <c r="T21" s="35" t="n">
        <f aca="false">M21</f>
        <v>8.73085190351923</v>
      </c>
      <c r="U21" s="34" t="n">
        <f aca="false">N21</f>
        <v>0.125419744795165</v>
      </c>
      <c r="V21" s="34" t="n">
        <f aca="false">O21</f>
        <v>0.327087707963172</v>
      </c>
      <c r="W21" s="46" t="n">
        <f aca="false">R21</f>
        <v>0</v>
      </c>
    </row>
    <row r="22" customFormat="false" ht="15" hidden="false" customHeight="true" outlineLevel="0" collapsed="false">
      <c r="A22" s="21" t="s">
        <v>62</v>
      </c>
      <c r="B22" s="21" t="s">
        <v>106</v>
      </c>
      <c r="C22" s="32" t="n">
        <f aca="false">'Raw Data'!D24</f>
        <v>6298</v>
      </c>
      <c r="D22" s="32" t="n">
        <f aca="false">'Raw Data'!E24</f>
        <v>456</v>
      </c>
      <c r="E22" s="32" t="n">
        <f aca="false">'Raw Data'!F24</f>
        <v>123</v>
      </c>
      <c r="F22" s="32" t="n">
        <f aca="false">'Raw Data'!G24+'Raw Data'!H24</f>
        <v>3408</v>
      </c>
      <c r="G22" s="32" t="n">
        <f aca="false">'Raw Data'!I24</f>
        <v>1767</v>
      </c>
      <c r="H22" s="32" t="n">
        <f aca="false">'Raw Data'!J24</f>
        <v>6880</v>
      </c>
      <c r="I22" s="32" t="n">
        <f aca="false">'Raw Data'!K24</f>
        <v>2938</v>
      </c>
      <c r="J22" s="33" t="n">
        <f aca="false">G22/F22</f>
        <v>0.518485915492958</v>
      </c>
      <c r="K22" s="34" t="n">
        <f aca="false">E22/F22</f>
        <v>0.0360915492957747</v>
      </c>
      <c r="L22" s="34" t="n">
        <f aca="false">E22/H22</f>
        <v>0.0178779069767442</v>
      </c>
      <c r="M22" s="35" t="n">
        <f aca="false">LN(H22)</f>
        <v>8.83637393092739</v>
      </c>
      <c r="N22" s="34" t="n">
        <f aca="false">(C22-'Raw Data'!D23)/'Raw Data'!D23</f>
        <v>-0.060420707146054</v>
      </c>
      <c r="O22" s="34" t="n">
        <f aca="false">I22/H22</f>
        <v>0.42703488372093</v>
      </c>
      <c r="P22" s="33" t="n">
        <f aca="false">'Raw Data'!L24</f>
        <v>1.22</v>
      </c>
      <c r="Q22" s="33" t="n">
        <f aca="false">'Raw Data'!M24/'Raw Data'!N24</f>
        <v>1.54721407624633</v>
      </c>
      <c r="R22" s="46" t="n">
        <f aca="false">IF(OR(B22="FY19-20",B22="FY20-21"),1,0)</f>
        <v>0</v>
      </c>
      <c r="S22" s="33" t="n">
        <f aca="false">J22</f>
        <v>0.518485915492958</v>
      </c>
      <c r="T22" s="35" t="n">
        <f aca="false">M22</f>
        <v>8.83637393092739</v>
      </c>
      <c r="U22" s="34" t="n">
        <f aca="false">N22</f>
        <v>-0.060420707146054</v>
      </c>
      <c r="V22" s="34" t="n">
        <f aca="false">O22</f>
        <v>0.42703488372093</v>
      </c>
      <c r="W22" s="46" t="n">
        <f aca="false">R22</f>
        <v>0</v>
      </c>
    </row>
    <row r="23" customFormat="false" ht="15" hidden="false" customHeight="true" outlineLevel="0" collapsed="false">
      <c r="A23" s="21" t="s">
        <v>62</v>
      </c>
      <c r="B23" s="21" t="s">
        <v>107</v>
      </c>
      <c r="C23" s="32" t="n">
        <f aca="false">'Raw Data'!D25</f>
        <v>8085</v>
      </c>
      <c r="D23" s="32" t="n">
        <f aca="false">'Raw Data'!E25</f>
        <v>1012</v>
      </c>
      <c r="E23" s="32" t="n">
        <f aca="false">'Raw Data'!F25</f>
        <v>596</v>
      </c>
      <c r="F23" s="32" t="n">
        <f aca="false">'Raw Data'!G25+'Raw Data'!H25</f>
        <v>3741</v>
      </c>
      <c r="G23" s="32" t="n">
        <f aca="false">'Raw Data'!I25</f>
        <v>1965</v>
      </c>
      <c r="H23" s="32" t="n">
        <f aca="false">'Raw Data'!J25</f>
        <v>7515</v>
      </c>
      <c r="I23" s="32" t="n">
        <f aca="false">'Raw Data'!K25</f>
        <v>2879</v>
      </c>
      <c r="J23" s="33" t="n">
        <f aca="false">G23/F23</f>
        <v>0.525260625501203</v>
      </c>
      <c r="K23" s="34" t="n">
        <f aca="false">E23/F23</f>
        <v>0.159315690991713</v>
      </c>
      <c r="L23" s="34" t="n">
        <f aca="false">E23/H23</f>
        <v>0.0793080505655356</v>
      </c>
      <c r="M23" s="35" t="n">
        <f aca="false">LN(H23)</f>
        <v>8.92465630218707</v>
      </c>
      <c r="N23" s="34" t="n">
        <f aca="false">(C23-'Raw Data'!D24)/'Raw Data'!D24</f>
        <v>0.283740870117498</v>
      </c>
      <c r="O23" s="34" t="n">
        <f aca="false">I23/H23</f>
        <v>0.383100465735196</v>
      </c>
      <c r="P23" s="33" t="n">
        <f aca="false">'Raw Data'!L25</f>
        <v>6.13</v>
      </c>
      <c r="Q23" s="33" t="n">
        <f aca="false">'Raw Data'!M25/'Raw Data'!N25</f>
        <v>1.69558011049724</v>
      </c>
      <c r="R23" s="46" t="n">
        <f aca="false">IF(OR(B23="FY19-20",B23="FY20-21"),1,0)</f>
        <v>0</v>
      </c>
      <c r="S23" s="33" t="n">
        <f aca="false">J23</f>
        <v>0.525260625501203</v>
      </c>
      <c r="T23" s="35" t="n">
        <f aca="false">M23</f>
        <v>8.92465630218707</v>
      </c>
      <c r="U23" s="34" t="n">
        <f aca="false">N23</f>
        <v>0.283740870117498</v>
      </c>
      <c r="V23" s="34" t="n">
        <f aca="false">O23</f>
        <v>0.383100465735196</v>
      </c>
      <c r="W23" s="46" t="n">
        <f aca="false">R23</f>
        <v>0</v>
      </c>
    </row>
    <row r="24" customFormat="false" ht="15" hidden="false" customHeight="true" outlineLevel="0" collapsed="false">
      <c r="A24" s="21" t="s">
        <v>62</v>
      </c>
      <c r="B24" s="21" t="s">
        <v>108</v>
      </c>
      <c r="C24" s="32" t="n">
        <f aca="false">'Raw Data'!D26</f>
        <v>8622</v>
      </c>
      <c r="D24" s="32" t="n">
        <f aca="false">'Raw Data'!E26</f>
        <v>907</v>
      </c>
      <c r="E24" s="32" t="n">
        <f aca="false">'Raw Data'!F26</f>
        <v>507</v>
      </c>
      <c r="F24" s="32" t="n">
        <f aca="false">'Raw Data'!G26+'Raw Data'!H26</f>
        <v>3905</v>
      </c>
      <c r="G24" s="32" t="n">
        <f aca="false">'Raw Data'!I26</f>
        <v>1678</v>
      </c>
      <c r="H24" s="32" t="n">
        <f aca="false">'Raw Data'!J26</f>
        <v>7508</v>
      </c>
      <c r="I24" s="32" t="n">
        <f aca="false">'Raw Data'!K26</f>
        <v>2933</v>
      </c>
      <c r="J24" s="33" t="n">
        <f aca="false">G24/F24</f>
        <v>0.429705505761844</v>
      </c>
      <c r="K24" s="34" t="n">
        <f aca="false">E24/F24</f>
        <v>0.129833546734955</v>
      </c>
      <c r="L24" s="34" t="n">
        <f aca="false">E24/H24</f>
        <v>0.0675279701651572</v>
      </c>
      <c r="M24" s="35" t="n">
        <f aca="false">LN(H24)</f>
        <v>8.9237243977064</v>
      </c>
      <c r="N24" s="34" t="n">
        <f aca="false">(C24-'Raw Data'!D25)/'Raw Data'!D25</f>
        <v>0.0664192949907236</v>
      </c>
      <c r="O24" s="34" t="n">
        <f aca="false">I24/H24</f>
        <v>0.390649973361747</v>
      </c>
      <c r="P24" s="33" t="n">
        <f aca="false">'Raw Data'!L26</f>
        <v>5.28</v>
      </c>
      <c r="Q24" s="33" t="n">
        <f aca="false">'Raw Data'!M26/'Raw Data'!N26</f>
        <v>1.7038961038961</v>
      </c>
      <c r="R24" s="46" t="n">
        <f aca="false">IF(OR(B24="FY19-20",B24="FY20-21"),1,0)</f>
        <v>0</v>
      </c>
      <c r="S24" s="33" t="n">
        <f aca="false">J24</f>
        <v>0.429705505761844</v>
      </c>
      <c r="T24" s="35" t="n">
        <f aca="false">M24</f>
        <v>8.9237243977064</v>
      </c>
      <c r="U24" s="34" t="n">
        <f aca="false">N24</f>
        <v>0.0664192949907236</v>
      </c>
      <c r="V24" s="34" t="n">
        <f aca="false">O24</f>
        <v>0.390649973361747</v>
      </c>
      <c r="W24" s="46" t="n">
        <f aca="false">R24</f>
        <v>0</v>
      </c>
    </row>
    <row r="25" customFormat="false" ht="15" hidden="false" customHeight="true" outlineLevel="0" collapsed="false">
      <c r="A25" s="18" t="s">
        <v>63</v>
      </c>
      <c r="B25" s="18" t="s">
        <v>99</v>
      </c>
      <c r="C25" s="28" t="n">
        <f aca="false">'Raw Data'!D28</f>
        <v>2001</v>
      </c>
      <c r="D25" s="28" t="n">
        <f aca="false">'Raw Data'!E28</f>
        <v>396</v>
      </c>
      <c r="E25" s="28" t="n">
        <f aca="false">'Raw Data'!F28</f>
        <v>238</v>
      </c>
      <c r="F25" s="28" t="n">
        <f aca="false">'Raw Data'!G28+'Raw Data'!H28</f>
        <v>613</v>
      </c>
      <c r="G25" s="28" t="n">
        <f aca="false">'Raw Data'!I28</f>
        <v>340</v>
      </c>
      <c r="H25" s="28" t="n">
        <f aca="false">'Raw Data'!J28</f>
        <v>1283</v>
      </c>
      <c r="I25" s="28" t="n">
        <f aca="false">'Raw Data'!K28</f>
        <v>466</v>
      </c>
      <c r="J25" s="29" t="n">
        <f aca="false">G25/F25</f>
        <v>0.554649265905383</v>
      </c>
      <c r="K25" s="30" t="n">
        <f aca="false">E25/F25</f>
        <v>0.388254486133768</v>
      </c>
      <c r="L25" s="30" t="n">
        <f aca="false">E25/H25</f>
        <v>0.185502727981294</v>
      </c>
      <c r="M25" s="31" t="n">
        <f aca="false">LN(H25)</f>
        <v>7.15695636461564</v>
      </c>
      <c r="N25" s="30" t="n">
        <f aca="false">(C25-'Raw Data'!D27)/'Raw Data'!D27</f>
        <v>0.238242574257426</v>
      </c>
      <c r="O25" s="30" t="n">
        <f aca="false">I25/H25</f>
        <v>0.363211223694466</v>
      </c>
      <c r="P25" s="29" t="n">
        <f aca="false">'Raw Data'!L28</f>
        <v>12.04</v>
      </c>
      <c r="Q25" s="29" t="n">
        <f aca="false">'Raw Data'!M28/'Raw Data'!N28</f>
        <v>2.42553191489362</v>
      </c>
      <c r="R25" s="45" t="n">
        <f aca="false">IF(OR(B25="FY19-20",B25="FY20-21"),1,0)</f>
        <v>0</v>
      </c>
      <c r="S25" s="29" t="n">
        <f aca="false">J25</f>
        <v>0.554649265905383</v>
      </c>
      <c r="T25" s="31" t="n">
        <f aca="false">M25</f>
        <v>7.15695636461564</v>
      </c>
      <c r="U25" s="30" t="n">
        <f aca="false">N25</f>
        <v>0.238242574257426</v>
      </c>
      <c r="V25" s="30" t="n">
        <f aca="false">O25</f>
        <v>0.363211223694466</v>
      </c>
      <c r="W25" s="45" t="n">
        <f aca="false">R25</f>
        <v>0</v>
      </c>
    </row>
    <row r="26" customFormat="false" ht="15" hidden="false" customHeight="true" outlineLevel="0" collapsed="false">
      <c r="A26" s="18" t="s">
        <v>63</v>
      </c>
      <c r="B26" s="18" t="s">
        <v>100</v>
      </c>
      <c r="C26" s="28" t="n">
        <f aca="false">'Raw Data'!D29</f>
        <v>1990</v>
      </c>
      <c r="D26" s="28" t="n">
        <f aca="false">'Raw Data'!E29</f>
        <v>325</v>
      </c>
      <c r="E26" s="28" t="n">
        <f aca="false">'Raw Data'!F29</f>
        <v>228</v>
      </c>
      <c r="F26" s="28" t="n">
        <f aca="false">'Raw Data'!G29+'Raw Data'!H29</f>
        <v>826</v>
      </c>
      <c r="G26" s="28" t="n">
        <f aca="false">'Raw Data'!I29</f>
        <v>267</v>
      </c>
      <c r="H26" s="28" t="n">
        <f aca="false">'Raw Data'!J29</f>
        <v>1440</v>
      </c>
      <c r="I26" s="28" t="n">
        <f aca="false">'Raw Data'!K29</f>
        <v>511</v>
      </c>
      <c r="J26" s="29" t="n">
        <f aca="false">G26/F26</f>
        <v>0.323244552058111</v>
      </c>
      <c r="K26" s="30" t="n">
        <f aca="false">E26/F26</f>
        <v>0.276029055690073</v>
      </c>
      <c r="L26" s="30" t="n">
        <f aca="false">E26/H26</f>
        <v>0.158333333333333</v>
      </c>
      <c r="M26" s="31" t="n">
        <f aca="false">LN(H26)</f>
        <v>7.27239839257005</v>
      </c>
      <c r="N26" s="30" t="n">
        <f aca="false">(C26-'Raw Data'!D28)/'Raw Data'!D28</f>
        <v>-0.00549725137431284</v>
      </c>
      <c r="O26" s="30" t="n">
        <f aca="false">I26/H26</f>
        <v>0.354861111111111</v>
      </c>
      <c r="P26" s="29" t="n">
        <f aca="false">'Raw Data'!L29</f>
        <v>11.55</v>
      </c>
      <c r="Q26" s="29" t="n">
        <f aca="false">'Raw Data'!M29/'Raw Data'!N29</f>
        <v>2.6271676300578</v>
      </c>
      <c r="R26" s="45" t="n">
        <f aca="false">IF(OR(B26="FY19-20",B26="FY20-21"),1,0)</f>
        <v>0</v>
      </c>
      <c r="S26" s="29" t="n">
        <f aca="false">J26</f>
        <v>0.323244552058111</v>
      </c>
      <c r="T26" s="31" t="n">
        <f aca="false">M26</f>
        <v>7.27239839257005</v>
      </c>
      <c r="U26" s="30" t="n">
        <f aca="false">N26</f>
        <v>-0.00549725137431284</v>
      </c>
      <c r="V26" s="30" t="n">
        <f aca="false">O26</f>
        <v>0.354861111111111</v>
      </c>
      <c r="W26" s="45" t="n">
        <f aca="false">R26</f>
        <v>0</v>
      </c>
    </row>
    <row r="27" customFormat="false" ht="15" hidden="false" customHeight="true" outlineLevel="0" collapsed="false">
      <c r="A27" s="18" t="s">
        <v>63</v>
      </c>
      <c r="B27" s="18" t="s">
        <v>101</v>
      </c>
      <c r="C27" s="28" t="n">
        <f aca="false">'Raw Data'!D30</f>
        <v>1709</v>
      </c>
      <c r="D27" s="28" t="n">
        <f aca="false">'Raw Data'!E30</f>
        <v>167</v>
      </c>
      <c r="E27" s="28" t="n">
        <f aca="false">'Raw Data'!F30</f>
        <v>131</v>
      </c>
      <c r="F27" s="28" t="n">
        <f aca="false">'Raw Data'!G30+'Raw Data'!H30</f>
        <v>938</v>
      </c>
      <c r="G27" s="28" t="n">
        <f aca="false">'Raw Data'!I30</f>
        <v>371</v>
      </c>
      <c r="H27" s="28" t="n">
        <f aca="false">'Raw Data'!J30</f>
        <v>1644</v>
      </c>
      <c r="I27" s="28" t="n">
        <f aca="false">'Raw Data'!K30</f>
        <v>535</v>
      </c>
      <c r="J27" s="29" t="n">
        <f aca="false">G27/F27</f>
        <v>0.395522388059701</v>
      </c>
      <c r="K27" s="30" t="n">
        <f aca="false">E27/F27</f>
        <v>0.139658848614073</v>
      </c>
      <c r="L27" s="30" t="n">
        <f aca="false">E27/H27</f>
        <v>0.079683698296837</v>
      </c>
      <c r="M27" s="31" t="n">
        <f aca="false">LN(H27)</f>
        <v>7.40488757561613</v>
      </c>
      <c r="N27" s="30" t="n">
        <f aca="false">(C27-'Raw Data'!D29)/'Raw Data'!D29</f>
        <v>-0.141206030150754</v>
      </c>
      <c r="O27" s="30" t="n">
        <f aca="false">I27/H27</f>
        <v>0.325425790754258</v>
      </c>
      <c r="P27" s="29" t="n">
        <f aca="false">'Raw Data'!L30</f>
        <v>6.64</v>
      </c>
      <c r="Q27" s="29" t="n">
        <f aca="false">'Raw Data'!M30/'Raw Data'!N30</f>
        <v>3.25373134328358</v>
      </c>
      <c r="R27" s="45" t="n">
        <f aca="false">IF(OR(B27="FY19-20",B27="FY20-21"),1,0)</f>
        <v>0</v>
      </c>
      <c r="S27" s="29" t="n">
        <f aca="false">J27</f>
        <v>0.395522388059701</v>
      </c>
      <c r="T27" s="31" t="n">
        <f aca="false">M27</f>
        <v>7.40488757561613</v>
      </c>
      <c r="U27" s="30" t="n">
        <f aca="false">N27</f>
        <v>-0.141206030150754</v>
      </c>
      <c r="V27" s="30" t="n">
        <f aca="false">O27</f>
        <v>0.325425790754258</v>
      </c>
      <c r="W27" s="45" t="n">
        <f aca="false">R27</f>
        <v>0</v>
      </c>
    </row>
    <row r="28" customFormat="false" ht="15" hidden="false" customHeight="true" outlineLevel="0" collapsed="false">
      <c r="A28" s="18" t="s">
        <v>63</v>
      </c>
      <c r="B28" s="18" t="s">
        <v>102</v>
      </c>
      <c r="C28" s="28" t="n">
        <f aca="false">'Raw Data'!D31</f>
        <v>1813</v>
      </c>
      <c r="D28" s="28" t="n">
        <f aca="false">'Raw Data'!E31</f>
        <v>151</v>
      </c>
      <c r="E28" s="28" t="n">
        <f aca="false">'Raw Data'!F31</f>
        <v>59</v>
      </c>
      <c r="F28" s="28" t="n">
        <f aca="false">'Raw Data'!G31+'Raw Data'!H31</f>
        <v>960</v>
      </c>
      <c r="G28" s="28" t="n">
        <f aca="false">'Raw Data'!I31</f>
        <v>309</v>
      </c>
      <c r="H28" s="28" t="n">
        <f aca="false">'Raw Data'!J31</f>
        <v>1552</v>
      </c>
      <c r="I28" s="28" t="n">
        <f aca="false">'Raw Data'!K31</f>
        <v>560</v>
      </c>
      <c r="J28" s="29" t="n">
        <f aca="false">G28/F28</f>
        <v>0.321875</v>
      </c>
      <c r="K28" s="30" t="n">
        <f aca="false">E28/F28</f>
        <v>0.0614583333333333</v>
      </c>
      <c r="L28" s="30" t="n">
        <f aca="false">E28/H28</f>
        <v>0.0380154639175258</v>
      </c>
      <c r="M28" s="31" t="n">
        <f aca="false">LN(H28)</f>
        <v>7.34729970074316</v>
      </c>
      <c r="N28" s="30" t="n">
        <f aca="false">(C28-'Raw Data'!D30)/'Raw Data'!D30</f>
        <v>0.0608543007606788</v>
      </c>
      <c r="O28" s="30" t="n">
        <f aca="false">I28/H28</f>
        <v>0.360824742268041</v>
      </c>
      <c r="P28" s="29" t="n">
        <f aca="false">'Raw Data'!L31</f>
        <v>3</v>
      </c>
      <c r="Q28" s="29" t="n">
        <f aca="false">'Raw Data'!M31/'Raw Data'!N31</f>
        <v>3.25088339222615</v>
      </c>
      <c r="R28" s="45" t="n">
        <f aca="false">IF(OR(B28="FY19-20",B28="FY20-21"),1,0)</f>
        <v>0</v>
      </c>
      <c r="S28" s="29" t="n">
        <f aca="false">J28</f>
        <v>0.321875</v>
      </c>
      <c r="T28" s="31" t="n">
        <f aca="false">M28</f>
        <v>7.34729970074316</v>
      </c>
      <c r="U28" s="30" t="n">
        <f aca="false">N28</f>
        <v>0.0608543007606788</v>
      </c>
      <c r="V28" s="30" t="n">
        <f aca="false">O28</f>
        <v>0.360824742268041</v>
      </c>
      <c r="W28" s="45" t="n">
        <f aca="false">R28</f>
        <v>0</v>
      </c>
    </row>
    <row r="29" customFormat="false" ht="15" hidden="false" customHeight="true" outlineLevel="0" collapsed="false">
      <c r="A29" s="18" t="s">
        <v>63</v>
      </c>
      <c r="B29" s="18" t="s">
        <v>103</v>
      </c>
      <c r="C29" s="28" t="n">
        <f aca="false">'Raw Data'!D32</f>
        <v>1965</v>
      </c>
      <c r="D29" s="28" t="n">
        <f aca="false">'Raw Data'!E32</f>
        <v>178</v>
      </c>
      <c r="E29" s="28" t="n">
        <f aca="false">'Raw Data'!F32</f>
        <v>74</v>
      </c>
      <c r="F29" s="28" t="n">
        <f aca="false">'Raw Data'!G32+'Raw Data'!H32</f>
        <v>972</v>
      </c>
      <c r="G29" s="28" t="n">
        <f aca="false">'Raw Data'!I32</f>
        <v>348</v>
      </c>
      <c r="H29" s="28" t="n">
        <f aca="false">'Raw Data'!J32</f>
        <v>1659</v>
      </c>
      <c r="I29" s="28" t="n">
        <f aca="false">'Raw Data'!K32</f>
        <v>553</v>
      </c>
      <c r="J29" s="29" t="n">
        <f aca="false">G29/F29</f>
        <v>0.358024691358025</v>
      </c>
      <c r="K29" s="30" t="n">
        <f aca="false">E29/F29</f>
        <v>0.0761316872427984</v>
      </c>
      <c r="L29" s="30" t="n">
        <f aca="false">E29/H29</f>
        <v>0.0446051838456902</v>
      </c>
      <c r="M29" s="31" t="n">
        <f aca="false">LN(H29)</f>
        <v>7.41397029019044</v>
      </c>
      <c r="N29" s="30" t="n">
        <f aca="false">(C29-'Raw Data'!D31)/'Raw Data'!D31</f>
        <v>0.0838389409817981</v>
      </c>
      <c r="O29" s="30" t="n">
        <f aca="false">I29/H29</f>
        <v>0.333333333333333</v>
      </c>
      <c r="P29" s="29" t="n">
        <f aca="false">'Raw Data'!L32</f>
        <v>3.74</v>
      </c>
      <c r="Q29" s="29" t="n">
        <f aca="false">'Raw Data'!M32/'Raw Data'!N32</f>
        <v>3.19822485207101</v>
      </c>
      <c r="R29" s="45" t="n">
        <f aca="false">IF(OR(B29="FY19-20",B29="FY20-21"),1,0)</f>
        <v>1</v>
      </c>
      <c r="S29" s="29" t="n">
        <f aca="false">J29</f>
        <v>0.358024691358025</v>
      </c>
      <c r="T29" s="31" t="n">
        <f aca="false">M29</f>
        <v>7.41397029019044</v>
      </c>
      <c r="U29" s="30" t="n">
        <f aca="false">N29</f>
        <v>0.0838389409817981</v>
      </c>
      <c r="V29" s="30" t="n">
        <f aca="false">O29</f>
        <v>0.333333333333333</v>
      </c>
      <c r="W29" s="45" t="n">
        <f aca="false">R29</f>
        <v>1</v>
      </c>
    </row>
    <row r="30" customFormat="false" ht="15" hidden="false" customHeight="true" outlineLevel="0" collapsed="false">
      <c r="A30" s="18" t="s">
        <v>63</v>
      </c>
      <c r="B30" s="18" t="s">
        <v>104</v>
      </c>
      <c r="C30" s="28" t="n">
        <f aca="false">'Raw Data'!D33</f>
        <v>2515</v>
      </c>
      <c r="D30" s="28" t="n">
        <f aca="false">'Raw Data'!E33</f>
        <v>384</v>
      </c>
      <c r="E30" s="28" t="n">
        <f aca="false">'Raw Data'!F33</f>
        <v>260</v>
      </c>
      <c r="F30" s="28" t="n">
        <f aca="false">'Raw Data'!G33+'Raw Data'!H33</f>
        <v>1274</v>
      </c>
      <c r="G30" s="28" t="n">
        <f aca="false">'Raw Data'!I33</f>
        <v>546</v>
      </c>
      <c r="H30" s="28" t="n">
        <f aca="false">'Raw Data'!J33</f>
        <v>2247</v>
      </c>
      <c r="I30" s="28" t="n">
        <f aca="false">'Raw Data'!K33</f>
        <v>543</v>
      </c>
      <c r="J30" s="29" t="n">
        <f aca="false">G30/F30</f>
        <v>0.428571428571429</v>
      </c>
      <c r="K30" s="30" t="n">
        <f aca="false">E30/F30</f>
        <v>0.204081632653061</v>
      </c>
      <c r="L30" s="30" t="n">
        <f aca="false">E30/H30</f>
        <v>0.115709835336004</v>
      </c>
      <c r="M30" s="31" t="n">
        <f aca="false">LN(H30)</f>
        <v>7.71735127218533</v>
      </c>
      <c r="N30" s="30" t="n">
        <f aca="false">(C30-'Raw Data'!D32)/'Raw Data'!D32</f>
        <v>0.279898218829517</v>
      </c>
      <c r="O30" s="30" t="n">
        <f aca="false">I30/H30</f>
        <v>0.241655540720961</v>
      </c>
      <c r="P30" s="29" t="n">
        <f aca="false">'Raw Data'!L33</f>
        <v>13.18</v>
      </c>
      <c r="Q30" s="29" t="n">
        <f aca="false">'Raw Data'!M33/'Raw Data'!N33</f>
        <v>3.54929577464789</v>
      </c>
      <c r="R30" s="45" t="n">
        <f aca="false">IF(OR(B30="FY19-20",B30="FY20-21"),1,0)</f>
        <v>1</v>
      </c>
      <c r="S30" s="29" t="n">
        <f aca="false">J30</f>
        <v>0.428571428571429</v>
      </c>
      <c r="T30" s="31" t="n">
        <f aca="false">M30</f>
        <v>7.71735127218533</v>
      </c>
      <c r="U30" s="30" t="n">
        <f aca="false">N30</f>
        <v>0.279898218829517</v>
      </c>
      <c r="V30" s="30" t="n">
        <f aca="false">O30</f>
        <v>0.241655540720961</v>
      </c>
      <c r="W30" s="45" t="n">
        <f aca="false">R30</f>
        <v>1</v>
      </c>
    </row>
    <row r="31" customFormat="false" ht="15" hidden="false" customHeight="true" outlineLevel="0" collapsed="false">
      <c r="A31" s="18" t="s">
        <v>63</v>
      </c>
      <c r="B31" s="18" t="s">
        <v>105</v>
      </c>
      <c r="C31" s="28" t="n">
        <f aca="false">'Raw Data'!D34</f>
        <v>2806</v>
      </c>
      <c r="D31" s="28" t="n">
        <f aca="false">'Raw Data'!E34</f>
        <v>402</v>
      </c>
      <c r="E31" s="28" t="n">
        <f aca="false">'Raw Data'!F34</f>
        <v>339</v>
      </c>
      <c r="F31" s="28" t="n">
        <f aca="false">'Raw Data'!G34+'Raw Data'!H34</f>
        <v>1576</v>
      </c>
      <c r="G31" s="28" t="n">
        <f aca="false">'Raw Data'!I34</f>
        <v>1214</v>
      </c>
      <c r="H31" s="28" t="n">
        <f aca="false">'Raw Data'!J34</f>
        <v>3090</v>
      </c>
      <c r="I31" s="28" t="n">
        <f aca="false">'Raw Data'!K34</f>
        <v>650</v>
      </c>
      <c r="J31" s="29" t="n">
        <f aca="false">G31/F31</f>
        <v>0.770304568527919</v>
      </c>
      <c r="K31" s="30" t="n">
        <f aca="false">E31/F31</f>
        <v>0.21510152284264</v>
      </c>
      <c r="L31" s="30" t="n">
        <f aca="false">E31/H31</f>
        <v>0.109708737864078</v>
      </c>
      <c r="M31" s="31" t="n">
        <f aca="false">LN(H31)</f>
        <v>8.03592636989179</v>
      </c>
      <c r="N31" s="30" t="n">
        <f aca="false">(C31-'Raw Data'!D33)/'Raw Data'!D33</f>
        <v>0.115705765407555</v>
      </c>
      <c r="O31" s="30" t="n">
        <f aca="false">I31/H31</f>
        <v>0.210355987055016</v>
      </c>
      <c r="P31" s="29" t="n">
        <f aca="false">'Raw Data'!L34</f>
        <v>17.16</v>
      </c>
      <c r="Q31" s="29" t="n">
        <f aca="false">'Raw Data'!M34/'Raw Data'!N34</f>
        <v>8.09333333333333</v>
      </c>
      <c r="R31" s="45" t="n">
        <f aca="false">IF(OR(B31="FY19-20",B31="FY20-21"),1,0)</f>
        <v>0</v>
      </c>
      <c r="S31" s="29" t="n">
        <f aca="false">J31</f>
        <v>0.770304568527919</v>
      </c>
      <c r="T31" s="31" t="n">
        <f aca="false">M31</f>
        <v>8.03592636989179</v>
      </c>
      <c r="U31" s="30" t="n">
        <f aca="false">N31</f>
        <v>0.115705765407555</v>
      </c>
      <c r="V31" s="30" t="n">
        <f aca="false">O31</f>
        <v>0.210355987055016</v>
      </c>
      <c r="W31" s="45" t="n">
        <f aca="false">R31</f>
        <v>0</v>
      </c>
    </row>
    <row r="32" customFormat="false" ht="15" hidden="false" customHeight="true" outlineLevel="0" collapsed="false">
      <c r="A32" s="18" t="s">
        <v>63</v>
      </c>
      <c r="B32" s="18" t="s">
        <v>106</v>
      </c>
      <c r="C32" s="28" t="n">
        <f aca="false">'Raw Data'!D35</f>
        <v>2784</v>
      </c>
      <c r="D32" s="28" t="n">
        <f aca="false">'Raw Data'!E35</f>
        <v>411</v>
      </c>
      <c r="E32" s="28" t="n">
        <f aca="false">'Raw Data'!F35</f>
        <v>238</v>
      </c>
      <c r="F32" s="28" t="n">
        <f aca="false">'Raw Data'!G35+'Raw Data'!H35</f>
        <v>1765</v>
      </c>
      <c r="G32" s="28" t="n">
        <f aca="false">'Raw Data'!I35</f>
        <v>853</v>
      </c>
      <c r="H32" s="28" t="n">
        <f aca="false">'Raw Data'!J35</f>
        <v>2983</v>
      </c>
      <c r="I32" s="28" t="n">
        <f aca="false">'Raw Data'!K35</f>
        <v>1243</v>
      </c>
      <c r="J32" s="29" t="n">
        <f aca="false">G32/F32</f>
        <v>0.48328611898017</v>
      </c>
      <c r="K32" s="30" t="n">
        <f aca="false">E32/F32</f>
        <v>0.134844192634561</v>
      </c>
      <c r="L32" s="30" t="n">
        <f aca="false">E32/H32</f>
        <v>0.0797854508883674</v>
      </c>
      <c r="M32" s="31" t="n">
        <f aca="false">LN(H32)</f>
        <v>8.00068478451475</v>
      </c>
      <c r="N32" s="30" t="n">
        <f aca="false">(C32-'Raw Data'!D34)/'Raw Data'!D34</f>
        <v>-0.00784034212401996</v>
      </c>
      <c r="O32" s="30" t="n">
        <f aca="false">I32/H32</f>
        <v>0.416694602748911</v>
      </c>
      <c r="P32" s="29" t="n">
        <f aca="false">'Raw Data'!L35</f>
        <v>12.03</v>
      </c>
      <c r="Q32" s="29" t="n">
        <f aca="false">'Raw Data'!M35/'Raw Data'!N35</f>
        <v>4.34246575342466</v>
      </c>
      <c r="R32" s="45" t="n">
        <f aca="false">IF(OR(B32="FY19-20",B32="FY20-21"),1,0)</f>
        <v>0</v>
      </c>
      <c r="S32" s="29" t="n">
        <f aca="false">J32</f>
        <v>0.48328611898017</v>
      </c>
      <c r="T32" s="31" t="n">
        <f aca="false">M32</f>
        <v>8.00068478451475</v>
      </c>
      <c r="U32" s="30" t="n">
        <f aca="false">N32</f>
        <v>-0.00784034212401996</v>
      </c>
      <c r="V32" s="30" t="n">
        <f aca="false">O32</f>
        <v>0.416694602748911</v>
      </c>
      <c r="W32" s="45" t="n">
        <f aca="false">R32</f>
        <v>0</v>
      </c>
    </row>
    <row r="33" customFormat="false" ht="15" hidden="false" customHeight="true" outlineLevel="0" collapsed="false">
      <c r="A33" s="18" t="s">
        <v>63</v>
      </c>
      <c r="B33" s="18" t="s">
        <v>107</v>
      </c>
      <c r="C33" s="28" t="n">
        <f aca="false">'Raw Data'!D36</f>
        <v>3332</v>
      </c>
      <c r="D33" s="28" t="n">
        <f aca="false">'Raw Data'!E36</f>
        <v>526</v>
      </c>
      <c r="E33" s="28" t="n">
        <f aca="false">'Raw Data'!F36</f>
        <v>320</v>
      </c>
      <c r="F33" s="28" t="n">
        <f aca="false">'Raw Data'!G36+'Raw Data'!H36</f>
        <v>2048</v>
      </c>
      <c r="G33" s="28" t="n">
        <f aca="false">'Raw Data'!I36</f>
        <v>936</v>
      </c>
      <c r="H33" s="28" t="n">
        <f aca="false">'Raw Data'!J36</f>
        <v>3493</v>
      </c>
      <c r="I33" s="28" t="n">
        <f aca="false">'Raw Data'!K36</f>
        <v>1344</v>
      </c>
      <c r="J33" s="29" t="n">
        <f aca="false">G33/F33</f>
        <v>0.45703125</v>
      </c>
      <c r="K33" s="30" t="n">
        <f aca="false">E33/F33</f>
        <v>0.15625</v>
      </c>
      <c r="L33" s="30" t="n">
        <f aca="false">E33/H33</f>
        <v>0.0916117950186087</v>
      </c>
      <c r="M33" s="31" t="n">
        <f aca="false">LN(H33)</f>
        <v>8.15851624480683</v>
      </c>
      <c r="N33" s="30" t="n">
        <f aca="false">(C33-'Raw Data'!D35)/'Raw Data'!D35</f>
        <v>0.19683908045977</v>
      </c>
      <c r="O33" s="30" t="n">
        <f aca="false">I33/H33</f>
        <v>0.384769539078156</v>
      </c>
      <c r="P33" s="29" t="n">
        <f aca="false">'Raw Data'!L36</f>
        <v>16.17</v>
      </c>
      <c r="Q33" s="29" t="n">
        <f aca="false">'Raw Data'!M36/'Raw Data'!N36</f>
        <v>3.93529411764706</v>
      </c>
      <c r="R33" s="45" t="n">
        <f aca="false">IF(OR(B33="FY19-20",B33="FY20-21"),1,0)</f>
        <v>0</v>
      </c>
      <c r="S33" s="29" t="n">
        <f aca="false">J33</f>
        <v>0.45703125</v>
      </c>
      <c r="T33" s="31" t="n">
        <f aca="false">M33</f>
        <v>8.15851624480683</v>
      </c>
      <c r="U33" s="30" t="n">
        <f aca="false">N33</f>
        <v>0.19683908045977</v>
      </c>
      <c r="V33" s="30" t="n">
        <f aca="false">O33</f>
        <v>0.384769539078156</v>
      </c>
      <c r="W33" s="45" t="n">
        <f aca="false">R33</f>
        <v>0</v>
      </c>
    </row>
    <row r="34" customFormat="false" ht="15" hidden="false" customHeight="true" outlineLevel="0" collapsed="false">
      <c r="A34" s="18" t="s">
        <v>63</v>
      </c>
      <c r="B34" s="18" t="s">
        <v>108</v>
      </c>
      <c r="C34" s="28" t="n">
        <f aca="false">'Raw Data'!D37</f>
        <v>3772</v>
      </c>
      <c r="D34" s="28" t="n">
        <f aca="false">'Raw Data'!E37</f>
        <v>465</v>
      </c>
      <c r="E34" s="28" t="n">
        <f aca="false">'Raw Data'!F37</f>
        <v>237</v>
      </c>
      <c r="F34" s="28" t="n">
        <f aca="false">'Raw Data'!G37+'Raw Data'!H37</f>
        <v>2237</v>
      </c>
      <c r="G34" s="28" t="n">
        <f aca="false">'Raw Data'!I37</f>
        <v>1061</v>
      </c>
      <c r="H34" s="28" t="n">
        <f aca="false">'Raw Data'!J37</f>
        <v>3695</v>
      </c>
      <c r="I34" s="28" t="n">
        <f aca="false">'Raw Data'!K37</f>
        <v>1381</v>
      </c>
      <c r="J34" s="29" t="n">
        <f aca="false">G34/F34</f>
        <v>0.474295932051855</v>
      </c>
      <c r="K34" s="30" t="n">
        <f aca="false">E34/F34</f>
        <v>0.105945462673223</v>
      </c>
      <c r="L34" s="30" t="n">
        <f aca="false">E34/H34</f>
        <v>0.0641407307171854</v>
      </c>
      <c r="M34" s="31" t="n">
        <f aca="false">LN(H34)</f>
        <v>8.2147358333823</v>
      </c>
      <c r="N34" s="30" t="n">
        <f aca="false">(C34-'Raw Data'!D36)/'Raw Data'!D36</f>
        <v>0.132052821128451</v>
      </c>
      <c r="O34" s="30" t="n">
        <f aca="false">I34/H34</f>
        <v>0.373748308525034</v>
      </c>
      <c r="P34" s="29" t="n">
        <f aca="false">'Raw Data'!L37</f>
        <v>11.98</v>
      </c>
      <c r="Q34" s="29" t="n">
        <f aca="false">'Raw Data'!M37/'Raw Data'!N37</f>
        <v>5.33417085427136</v>
      </c>
      <c r="R34" s="45" t="n">
        <f aca="false">IF(OR(B34="FY19-20",B34="FY20-21"),1,0)</f>
        <v>0</v>
      </c>
      <c r="S34" s="29" t="n">
        <f aca="false">J34</f>
        <v>0.474295932051855</v>
      </c>
      <c r="T34" s="31" t="n">
        <f aca="false">M34</f>
        <v>8.2147358333823</v>
      </c>
      <c r="U34" s="30" t="n">
        <f aca="false">N34</f>
        <v>0.132052821128451</v>
      </c>
      <c r="V34" s="30" t="n">
        <f aca="false">O34</f>
        <v>0.373748308525034</v>
      </c>
      <c r="W34" s="45" t="n">
        <f aca="false">R34</f>
        <v>0</v>
      </c>
    </row>
    <row r="35" customFormat="false" ht="15" hidden="false" customHeight="true" outlineLevel="0" collapsed="false">
      <c r="A35" s="21" t="s">
        <v>64</v>
      </c>
      <c r="B35" s="21" t="s">
        <v>99</v>
      </c>
      <c r="C35" s="32" t="n">
        <f aca="false">'Raw Data'!D39</f>
        <v>5602</v>
      </c>
      <c r="D35" s="32" t="n">
        <f aca="false">'Raw Data'!E39</f>
        <v>1108</v>
      </c>
      <c r="E35" s="32" t="n">
        <f aca="false">'Raw Data'!F39</f>
        <v>676</v>
      </c>
      <c r="F35" s="32" t="n">
        <f aca="false">'Raw Data'!G39+'Raw Data'!H39</f>
        <v>3690</v>
      </c>
      <c r="G35" s="32" t="n">
        <f aca="false">'Raw Data'!I39</f>
        <v>2596</v>
      </c>
      <c r="H35" s="32" t="n">
        <f aca="false">'Raw Data'!J39</f>
        <v>6985</v>
      </c>
      <c r="I35" s="32" t="n">
        <f aca="false">'Raw Data'!K39</f>
        <v>2585</v>
      </c>
      <c r="J35" s="33" t="n">
        <f aca="false">G35/F35</f>
        <v>0.703523035230352</v>
      </c>
      <c r="K35" s="34" t="n">
        <f aca="false">E35/F35</f>
        <v>0.18319783197832</v>
      </c>
      <c r="L35" s="34" t="n">
        <f aca="false">E35/H35</f>
        <v>0.0967788117394417</v>
      </c>
      <c r="M35" s="35" t="n">
        <f aca="false">LN(H35)</f>
        <v>8.85152027169106</v>
      </c>
      <c r="N35" s="34" t="n">
        <f aca="false">(C35-'Raw Data'!D38)/'Raw Data'!D38</f>
        <v>-0.0223385689354276</v>
      </c>
      <c r="O35" s="34" t="n">
        <f aca="false">I35/H35</f>
        <v>0.37007874015748</v>
      </c>
      <c r="P35" s="33" t="n">
        <f aca="false">'Raw Data'!L39</f>
        <v>21.25</v>
      </c>
      <c r="Q35" s="33" t="n">
        <f aca="false">'Raw Data'!M39/'Raw Data'!N39</f>
        <v>4.75714285714286</v>
      </c>
      <c r="R35" s="46" t="n">
        <f aca="false">IF(OR(B35="FY19-20",B35="FY20-21"),1,0)</f>
        <v>0</v>
      </c>
      <c r="S35" s="33" t="n">
        <f aca="false">J35</f>
        <v>0.703523035230352</v>
      </c>
      <c r="T35" s="35" t="n">
        <f aca="false">M35</f>
        <v>8.85152027169106</v>
      </c>
      <c r="U35" s="34" t="n">
        <f aca="false">N35</f>
        <v>-0.0223385689354276</v>
      </c>
      <c r="V35" s="34" t="n">
        <f aca="false">O35</f>
        <v>0.37007874015748</v>
      </c>
      <c r="W35" s="46" t="n">
        <f aca="false">R35</f>
        <v>0</v>
      </c>
    </row>
    <row r="36" customFormat="false" ht="15" hidden="false" customHeight="true" outlineLevel="0" collapsed="false">
      <c r="A36" s="21" t="s">
        <v>64</v>
      </c>
      <c r="B36" s="21" t="s">
        <v>100</v>
      </c>
      <c r="C36" s="32" t="n">
        <f aca="false">'Raw Data'!D40</f>
        <v>5691</v>
      </c>
      <c r="D36" s="32" t="n">
        <f aca="false">'Raw Data'!E40</f>
        <v>1131</v>
      </c>
      <c r="E36" s="32" t="n">
        <f aca="false">'Raw Data'!F40</f>
        <v>1002</v>
      </c>
      <c r="F36" s="32" t="n">
        <f aca="false">'Raw Data'!G40+'Raw Data'!H40</f>
        <v>3986</v>
      </c>
      <c r="G36" s="32" t="n">
        <f aca="false">'Raw Data'!I40</f>
        <v>2198</v>
      </c>
      <c r="H36" s="32" t="n">
        <f aca="false">'Raw Data'!J40</f>
        <v>6959</v>
      </c>
      <c r="I36" s="32" t="n">
        <f aca="false">'Raw Data'!K40</f>
        <v>2507</v>
      </c>
      <c r="J36" s="33" t="n">
        <f aca="false">G36/F36</f>
        <v>0.551430005017562</v>
      </c>
      <c r="K36" s="34" t="n">
        <f aca="false">E36/F36</f>
        <v>0.25137982940291</v>
      </c>
      <c r="L36" s="34" t="n">
        <f aca="false">E36/H36</f>
        <v>0.143986204914499</v>
      </c>
      <c r="M36" s="35" t="n">
        <f aca="false">LN(H36)</f>
        <v>8.84779106484485</v>
      </c>
      <c r="N36" s="34" t="n">
        <f aca="false">(C36-'Raw Data'!D39)/'Raw Data'!D39</f>
        <v>0.0158871831488754</v>
      </c>
      <c r="O36" s="34" t="n">
        <f aca="false">I36/H36</f>
        <v>0.360252909900848</v>
      </c>
      <c r="P36" s="33" t="n">
        <f aca="false">'Raw Data'!L40</f>
        <v>34.87</v>
      </c>
      <c r="Q36" s="33" t="n">
        <f aca="false">'Raw Data'!M40/'Raw Data'!N40</f>
        <v>3.62451612903226</v>
      </c>
      <c r="R36" s="46" t="n">
        <f aca="false">IF(OR(B36="FY19-20",B36="FY20-21"),1,0)</f>
        <v>0</v>
      </c>
      <c r="S36" s="33" t="n">
        <f aca="false">J36</f>
        <v>0.551430005017562</v>
      </c>
      <c r="T36" s="35" t="n">
        <f aca="false">M36</f>
        <v>8.84779106484485</v>
      </c>
      <c r="U36" s="34" t="n">
        <f aca="false">N36</f>
        <v>0.0158871831488754</v>
      </c>
      <c r="V36" s="34" t="n">
        <f aca="false">O36</f>
        <v>0.360252909900848</v>
      </c>
      <c r="W36" s="46" t="n">
        <f aca="false">R36</f>
        <v>0</v>
      </c>
    </row>
    <row r="37" customFormat="false" ht="15" hidden="false" customHeight="true" outlineLevel="0" collapsed="false">
      <c r="A37" s="21" t="s">
        <v>64</v>
      </c>
      <c r="B37" s="21" t="s">
        <v>101</v>
      </c>
      <c r="C37" s="32" t="n">
        <f aca="false">'Raw Data'!D41</f>
        <v>5851</v>
      </c>
      <c r="D37" s="32" t="n">
        <f aca="false">'Raw Data'!E41</f>
        <v>859</v>
      </c>
      <c r="E37" s="32" t="n">
        <f aca="false">'Raw Data'!F41</f>
        <v>546</v>
      </c>
      <c r="F37" s="32" t="n">
        <f aca="false">'Raw Data'!G41+'Raw Data'!H41</f>
        <v>4632</v>
      </c>
      <c r="G37" s="32" t="n">
        <f aca="false">'Raw Data'!I41</f>
        <v>2282</v>
      </c>
      <c r="H37" s="32" t="n">
        <f aca="false">'Raw Data'!J41</f>
        <v>7696</v>
      </c>
      <c r="I37" s="32" t="n">
        <f aca="false">'Raw Data'!K41</f>
        <v>2612</v>
      </c>
      <c r="J37" s="33" t="n">
        <f aca="false">G37/F37</f>
        <v>0.4926597582038</v>
      </c>
      <c r="K37" s="34" t="n">
        <f aca="false">E37/F37</f>
        <v>0.117875647668394</v>
      </c>
      <c r="L37" s="34" t="n">
        <f aca="false">E37/H37</f>
        <v>0.0709459459459459</v>
      </c>
      <c r="M37" s="35" t="n">
        <f aca="false">LN(H37)</f>
        <v>8.94845599234554</v>
      </c>
      <c r="N37" s="34" t="n">
        <f aca="false">(C37-'Raw Data'!D40)/'Raw Data'!D40</f>
        <v>0.0281145668599543</v>
      </c>
      <c r="O37" s="34" t="n">
        <f aca="false">I37/H37</f>
        <v>0.339397089397089</v>
      </c>
      <c r="P37" s="33" t="n">
        <f aca="false">'Raw Data'!L41</f>
        <v>19</v>
      </c>
      <c r="Q37" s="33" t="n">
        <f aca="false">'Raw Data'!M41/'Raw Data'!N41</f>
        <v>4.46547314578005</v>
      </c>
      <c r="R37" s="46" t="n">
        <f aca="false">IF(OR(B37="FY19-20",B37="FY20-21"),1,0)</f>
        <v>0</v>
      </c>
      <c r="S37" s="33" t="n">
        <f aca="false">J37</f>
        <v>0.4926597582038</v>
      </c>
      <c r="T37" s="35" t="n">
        <f aca="false">M37</f>
        <v>8.94845599234554</v>
      </c>
      <c r="U37" s="34" t="n">
        <f aca="false">N37</f>
        <v>0.0281145668599543</v>
      </c>
      <c r="V37" s="34" t="n">
        <f aca="false">O37</f>
        <v>0.339397089397089</v>
      </c>
      <c r="W37" s="46" t="n">
        <f aca="false">R37</f>
        <v>0</v>
      </c>
    </row>
    <row r="38" customFormat="false" ht="15" hidden="false" customHeight="true" outlineLevel="0" collapsed="false">
      <c r="A38" s="21" t="s">
        <v>64</v>
      </c>
      <c r="B38" s="21" t="s">
        <v>102</v>
      </c>
      <c r="C38" s="32" t="n">
        <f aca="false">'Raw Data'!D42</f>
        <v>6415</v>
      </c>
      <c r="D38" s="32" t="n">
        <f aca="false">'Raw Data'!E42</f>
        <v>1132</v>
      </c>
      <c r="E38" s="32" t="n">
        <f aca="false">'Raw Data'!F42</f>
        <v>696</v>
      </c>
      <c r="F38" s="32" t="n">
        <f aca="false">'Raw Data'!G42+'Raw Data'!H42</f>
        <v>5239</v>
      </c>
      <c r="G38" s="32" t="n">
        <f aca="false">'Raw Data'!I42</f>
        <v>2238</v>
      </c>
      <c r="H38" s="32" t="n">
        <f aca="false">'Raw Data'!J42</f>
        <v>8369</v>
      </c>
      <c r="I38" s="32" t="n">
        <f aca="false">'Raw Data'!K42</f>
        <v>3333</v>
      </c>
      <c r="J38" s="33" t="n">
        <f aca="false">G38/F38</f>
        <v>0.427180759686963</v>
      </c>
      <c r="K38" s="34" t="n">
        <f aca="false">E38/F38</f>
        <v>0.13284978049246</v>
      </c>
      <c r="L38" s="34" t="n">
        <f aca="false">E38/H38</f>
        <v>0.083164057832477</v>
      </c>
      <c r="M38" s="35" t="n">
        <f aca="false">LN(H38)</f>
        <v>9.03228968203287</v>
      </c>
      <c r="N38" s="34" t="n">
        <f aca="false">(C38-'Raw Data'!D41)/'Raw Data'!D41</f>
        <v>0.0963937788412237</v>
      </c>
      <c r="O38" s="34" t="n">
        <f aca="false">I38/H38</f>
        <v>0.398255466602939</v>
      </c>
      <c r="P38" s="33" t="n">
        <f aca="false">'Raw Data'!L42</f>
        <v>24.21</v>
      </c>
      <c r="Q38" s="33" t="n">
        <f aca="false">'Raw Data'!M42/'Raw Data'!N42</f>
        <v>4.42825112107623</v>
      </c>
      <c r="R38" s="46" t="n">
        <f aca="false">IF(OR(B38="FY19-20",B38="FY20-21"),1,0)</f>
        <v>0</v>
      </c>
      <c r="S38" s="33" t="n">
        <f aca="false">J38</f>
        <v>0.427180759686963</v>
      </c>
      <c r="T38" s="35" t="n">
        <f aca="false">M38</f>
        <v>9.03228968203287</v>
      </c>
      <c r="U38" s="34" t="n">
        <f aca="false">N38</f>
        <v>0.0963937788412237</v>
      </c>
      <c r="V38" s="34" t="n">
        <f aca="false">O38</f>
        <v>0.398255466602939</v>
      </c>
      <c r="W38" s="46" t="n">
        <f aca="false">R38</f>
        <v>0</v>
      </c>
    </row>
    <row r="39" customFormat="false" ht="15" hidden="false" customHeight="true" outlineLevel="0" collapsed="false">
      <c r="A39" s="21" t="s">
        <v>64</v>
      </c>
      <c r="B39" s="21" t="s">
        <v>103</v>
      </c>
      <c r="C39" s="32" t="n">
        <f aca="false">'Raw Data'!D43</f>
        <v>6325</v>
      </c>
      <c r="D39" s="32" t="n">
        <f aca="false">'Raw Data'!E43</f>
        <v>883</v>
      </c>
      <c r="E39" s="32" t="n">
        <f aca="false">'Raw Data'!F43</f>
        <v>545</v>
      </c>
      <c r="F39" s="32" t="n">
        <f aca="false">'Raw Data'!G43+'Raw Data'!H43</f>
        <v>5667</v>
      </c>
      <c r="G39" s="32" t="n">
        <f aca="false">'Raw Data'!I43</f>
        <v>2197</v>
      </c>
      <c r="H39" s="32" t="n">
        <f aca="false">'Raw Data'!J43</f>
        <v>8727</v>
      </c>
      <c r="I39" s="32" t="n">
        <f aca="false">'Raw Data'!K43</f>
        <v>3620</v>
      </c>
      <c r="J39" s="33" t="n">
        <f aca="false">G39/F39</f>
        <v>0.387683077466031</v>
      </c>
      <c r="K39" s="34" t="n">
        <f aca="false">E39/F39</f>
        <v>0.0961708134815599</v>
      </c>
      <c r="L39" s="34" t="n">
        <f aca="false">E39/H39</f>
        <v>0.0624498682250487</v>
      </c>
      <c r="M39" s="35" t="n">
        <f aca="false">LN(H39)</f>
        <v>9.07417694716331</v>
      </c>
      <c r="N39" s="34" t="n">
        <f aca="false">(C39-'Raw Data'!D42)/'Raw Data'!D42</f>
        <v>-0.0140296180826189</v>
      </c>
      <c r="O39" s="34" t="n">
        <f aca="false">I39/H39</f>
        <v>0.414804629311333</v>
      </c>
      <c r="P39" s="33" t="n">
        <f aca="false">'Raw Data'!L43</f>
        <v>18.97</v>
      </c>
      <c r="Q39" s="33" t="n">
        <f aca="false">'Raw Data'!M43/'Raw Data'!N43</f>
        <v>4.71643518518519</v>
      </c>
      <c r="R39" s="46" t="n">
        <f aca="false">IF(OR(B39="FY19-20",B39="FY20-21"),1,0)</f>
        <v>1</v>
      </c>
      <c r="S39" s="33" t="n">
        <f aca="false">J39</f>
        <v>0.387683077466031</v>
      </c>
      <c r="T39" s="35" t="n">
        <f aca="false">M39</f>
        <v>9.07417694716331</v>
      </c>
      <c r="U39" s="34" t="n">
        <f aca="false">N39</f>
        <v>-0.0140296180826189</v>
      </c>
      <c r="V39" s="34" t="n">
        <f aca="false">O39</f>
        <v>0.414804629311333</v>
      </c>
      <c r="W39" s="46" t="n">
        <f aca="false">R39</f>
        <v>1</v>
      </c>
    </row>
    <row r="40" customFormat="false" ht="15" hidden="false" customHeight="true" outlineLevel="0" collapsed="false">
      <c r="A40" s="21" t="s">
        <v>64</v>
      </c>
      <c r="B40" s="21" t="s">
        <v>104</v>
      </c>
      <c r="C40" s="32" t="n">
        <f aca="false">'Raw Data'!D44</f>
        <v>5926</v>
      </c>
      <c r="D40" s="32" t="n">
        <f aca="false">'Raw Data'!E44</f>
        <v>767</v>
      </c>
      <c r="E40" s="32" t="n">
        <f aca="false">'Raw Data'!F44</f>
        <v>367</v>
      </c>
      <c r="F40" s="32" t="n">
        <f aca="false">'Raw Data'!G44+'Raw Data'!H44</f>
        <v>6139</v>
      </c>
      <c r="G40" s="32" t="n">
        <f aca="false">'Raw Data'!I44</f>
        <v>2132</v>
      </c>
      <c r="H40" s="32" t="n">
        <f aca="false">'Raw Data'!J44</f>
        <v>9064</v>
      </c>
      <c r="I40" s="32" t="n">
        <f aca="false">'Raw Data'!K44</f>
        <v>3546</v>
      </c>
      <c r="J40" s="33" t="n">
        <f aca="false">G40/F40</f>
        <v>0.347287831894445</v>
      </c>
      <c r="K40" s="34" t="n">
        <f aca="false">E40/F40</f>
        <v>0.0597817234077211</v>
      </c>
      <c r="L40" s="34" t="n">
        <f aca="false">E40/H40</f>
        <v>0.0404898499558694</v>
      </c>
      <c r="M40" s="35" t="n">
        <f aca="false">LN(H40)</f>
        <v>9.11206580270784</v>
      </c>
      <c r="N40" s="34" t="n">
        <f aca="false">(C40-'Raw Data'!D43)/'Raw Data'!D43</f>
        <v>-0.0630830039525692</v>
      </c>
      <c r="O40" s="34" t="n">
        <f aca="false">I40/H40</f>
        <v>0.391218005295675</v>
      </c>
      <c r="P40" s="33" t="n">
        <f aca="false">'Raw Data'!L44</f>
        <v>12.74</v>
      </c>
      <c r="Q40" s="33" t="n">
        <f aca="false">'Raw Data'!M44/'Raw Data'!N44</f>
        <v>5.93316519546028</v>
      </c>
      <c r="R40" s="46" t="n">
        <f aca="false">IF(OR(B40="FY19-20",B40="FY20-21"),1,0)</f>
        <v>1</v>
      </c>
      <c r="S40" s="33" t="n">
        <f aca="false">J40</f>
        <v>0.347287831894445</v>
      </c>
      <c r="T40" s="35" t="n">
        <f aca="false">M40</f>
        <v>9.11206580270784</v>
      </c>
      <c r="U40" s="34" t="n">
        <f aca="false">N40</f>
        <v>-0.0630830039525692</v>
      </c>
      <c r="V40" s="34" t="n">
        <f aca="false">O40</f>
        <v>0.391218005295675</v>
      </c>
      <c r="W40" s="46" t="n">
        <f aca="false">R40</f>
        <v>1</v>
      </c>
    </row>
    <row r="41" customFormat="false" ht="15" hidden="false" customHeight="true" outlineLevel="0" collapsed="false">
      <c r="A41" s="21" t="s">
        <v>64</v>
      </c>
      <c r="B41" s="21" t="s">
        <v>105</v>
      </c>
      <c r="C41" s="32" t="n">
        <f aca="false">'Raw Data'!D45</f>
        <v>9386</v>
      </c>
      <c r="D41" s="32" t="n">
        <f aca="false">'Raw Data'!E45</f>
        <v>2262</v>
      </c>
      <c r="E41" s="32" t="n">
        <f aca="false">'Raw Data'!F45</f>
        <v>1677</v>
      </c>
      <c r="F41" s="32" t="n">
        <f aca="false">'Raw Data'!G45+'Raw Data'!H45</f>
        <v>7539</v>
      </c>
      <c r="G41" s="32" t="n">
        <f aca="false">'Raw Data'!I45</f>
        <v>1980</v>
      </c>
      <c r="H41" s="32" t="n">
        <f aca="false">'Raw Data'!J45</f>
        <v>10576</v>
      </c>
      <c r="I41" s="32" t="n">
        <f aca="false">'Raw Data'!K45</f>
        <v>3677</v>
      </c>
      <c r="J41" s="33" t="n">
        <f aca="false">G41/F41</f>
        <v>0.262634301631516</v>
      </c>
      <c r="K41" s="34" t="n">
        <f aca="false">E41/F41</f>
        <v>0.222443294866693</v>
      </c>
      <c r="L41" s="34" t="n">
        <f aca="false">E41/H41</f>
        <v>0.15856656580938</v>
      </c>
      <c r="M41" s="35" t="n">
        <f aca="false">LN(H41)</f>
        <v>9.26634256209147</v>
      </c>
      <c r="N41" s="34" t="n">
        <f aca="false">(C41-'Raw Data'!D44)/'Raw Data'!D44</f>
        <v>0.583867701653729</v>
      </c>
      <c r="O41" s="34" t="n">
        <f aca="false">I41/H41</f>
        <v>0.34767397881997</v>
      </c>
      <c r="P41" s="33" t="n">
        <f aca="false">'Raw Data'!L45</f>
        <v>58.07</v>
      </c>
      <c r="Q41" s="33" t="n">
        <f aca="false">'Raw Data'!M45/'Raw Data'!N45</f>
        <v>5.15246212121212</v>
      </c>
      <c r="R41" s="46" t="n">
        <f aca="false">IF(OR(B41="FY19-20",B41="FY20-21"),1,0)</f>
        <v>0</v>
      </c>
      <c r="S41" s="33" t="n">
        <f aca="false">J41</f>
        <v>0.262634301631516</v>
      </c>
      <c r="T41" s="35" t="n">
        <f aca="false">M41</f>
        <v>9.26634256209147</v>
      </c>
      <c r="U41" s="34" t="n">
        <f aca="false">N41</f>
        <v>0.583867701653729</v>
      </c>
      <c r="V41" s="34" t="n">
        <f aca="false">O41</f>
        <v>0.34767397881997</v>
      </c>
      <c r="W41" s="46" t="n">
        <f aca="false">R41</f>
        <v>0</v>
      </c>
    </row>
    <row r="42" customFormat="false" ht="15" hidden="false" customHeight="true" outlineLevel="0" collapsed="false">
      <c r="A42" s="21" t="s">
        <v>64</v>
      </c>
      <c r="B42" s="21" t="s">
        <v>106</v>
      </c>
      <c r="C42" s="32" t="n">
        <f aca="false">'Raw Data'!D46</f>
        <v>9841</v>
      </c>
      <c r="D42" s="32" t="n">
        <f aca="false">'Raw Data'!E46</f>
        <v>1285</v>
      </c>
      <c r="E42" s="32" t="n">
        <f aca="false">'Raw Data'!F46</f>
        <v>749</v>
      </c>
      <c r="F42" s="32" t="n">
        <f aca="false">'Raw Data'!G46+'Raw Data'!H46</f>
        <v>8294</v>
      </c>
      <c r="G42" s="32" t="n">
        <f aca="false">'Raw Data'!I46</f>
        <v>1677</v>
      </c>
      <c r="H42" s="32" t="n">
        <f aca="false">'Raw Data'!J46</f>
        <v>10861</v>
      </c>
      <c r="I42" s="32" t="n">
        <f aca="false">'Raw Data'!K46</f>
        <v>3927</v>
      </c>
      <c r="J42" s="33" t="n">
        <f aca="false">G42/F42</f>
        <v>0.202194357366771</v>
      </c>
      <c r="K42" s="34" t="n">
        <f aca="false">E42/F42</f>
        <v>0.0903062454786593</v>
      </c>
      <c r="L42" s="34" t="n">
        <f aca="false">E42/H42</f>
        <v>0.0689623423257527</v>
      </c>
      <c r="M42" s="35" t="n">
        <f aca="false">LN(H42)</f>
        <v>9.29293367028004</v>
      </c>
      <c r="N42" s="34" t="n">
        <f aca="false">(C42-'Raw Data'!D45)/'Raw Data'!D45</f>
        <v>0.0484764542936288</v>
      </c>
      <c r="O42" s="34" t="n">
        <f aca="false">I42/H42</f>
        <v>0.361568916306049</v>
      </c>
      <c r="P42" s="33" t="n">
        <f aca="false">'Raw Data'!L46</f>
        <v>25.91</v>
      </c>
      <c r="Q42" s="33" t="n">
        <f aca="false">'Raw Data'!M46/'Raw Data'!N46</f>
        <v>5.26629213483146</v>
      </c>
      <c r="R42" s="46" t="n">
        <f aca="false">IF(OR(B42="FY19-20",B42="FY20-21"),1,0)</f>
        <v>0</v>
      </c>
      <c r="S42" s="33" t="n">
        <f aca="false">J42</f>
        <v>0.202194357366771</v>
      </c>
      <c r="T42" s="35" t="n">
        <f aca="false">M42</f>
        <v>9.29293367028004</v>
      </c>
      <c r="U42" s="34" t="n">
        <f aca="false">N42</f>
        <v>0.0484764542936288</v>
      </c>
      <c r="V42" s="34" t="n">
        <f aca="false">O42</f>
        <v>0.361568916306049</v>
      </c>
      <c r="W42" s="46" t="n">
        <f aca="false">R42</f>
        <v>0</v>
      </c>
    </row>
    <row r="43" customFormat="false" ht="15" hidden="false" customHeight="true" outlineLevel="0" collapsed="false">
      <c r="A43" s="21" t="s">
        <v>64</v>
      </c>
      <c r="B43" s="21" t="s">
        <v>107</v>
      </c>
      <c r="C43" s="32" t="n">
        <f aca="false">'Raw Data'!D47</f>
        <v>9299</v>
      </c>
      <c r="D43" s="32" t="n">
        <f aca="false">'Raw Data'!E47</f>
        <v>958</v>
      </c>
      <c r="E43" s="32" t="n">
        <f aca="false">'Raw Data'!F47</f>
        <v>608</v>
      </c>
      <c r="F43" s="32" t="n">
        <f aca="false">'Raw Data'!G47+'Raw Data'!H47</f>
        <v>8805</v>
      </c>
      <c r="G43" s="32" t="n">
        <f aca="false">'Raw Data'!I47</f>
        <v>1790</v>
      </c>
      <c r="H43" s="32" t="n">
        <f aca="false">'Raw Data'!J47</f>
        <v>11487</v>
      </c>
      <c r="I43" s="32" t="n">
        <f aca="false">'Raw Data'!K47</f>
        <v>3772</v>
      </c>
      <c r="J43" s="33" t="n">
        <f aca="false">G43/F43</f>
        <v>0.203293583191369</v>
      </c>
      <c r="K43" s="34" t="n">
        <f aca="false">E43/F43</f>
        <v>0.0690516751845542</v>
      </c>
      <c r="L43" s="34" t="n">
        <f aca="false">E43/H43</f>
        <v>0.0529293984504222</v>
      </c>
      <c r="M43" s="35" t="n">
        <f aca="false">LN(H43)</f>
        <v>9.34897124014541</v>
      </c>
      <c r="N43" s="34" t="n">
        <f aca="false">(C43-'Raw Data'!D46)/'Raw Data'!D46</f>
        <v>-0.0550757036886495</v>
      </c>
      <c r="O43" s="34" t="n">
        <f aca="false">I43/H43</f>
        <v>0.328371202228606</v>
      </c>
      <c r="P43" s="33" t="n">
        <f aca="false">'Raw Data'!L47</f>
        <v>21.01</v>
      </c>
      <c r="Q43" s="33" t="n">
        <f aca="false">'Raw Data'!M47/'Raw Data'!N47</f>
        <v>7.13019079685746</v>
      </c>
      <c r="R43" s="46" t="n">
        <f aca="false">IF(OR(B43="FY19-20",B43="FY20-21"),1,0)</f>
        <v>0</v>
      </c>
      <c r="S43" s="33" t="n">
        <f aca="false">J43</f>
        <v>0.203293583191369</v>
      </c>
      <c r="T43" s="35" t="n">
        <f aca="false">M43</f>
        <v>9.34897124014541</v>
      </c>
      <c r="U43" s="34" t="n">
        <f aca="false">N43</f>
        <v>-0.0550757036886495</v>
      </c>
      <c r="V43" s="34" t="n">
        <f aca="false">O43</f>
        <v>0.328371202228606</v>
      </c>
      <c r="W43" s="46" t="n">
        <f aca="false">R43</f>
        <v>0</v>
      </c>
    </row>
    <row r="44" customFormat="false" ht="15" hidden="false" customHeight="true" outlineLevel="0" collapsed="false">
      <c r="A44" s="21" t="s">
        <v>64</v>
      </c>
      <c r="B44" s="21" t="s">
        <v>108</v>
      </c>
      <c r="C44" s="32" t="n">
        <f aca="false">'Raw Data'!D48</f>
        <v>9587</v>
      </c>
      <c r="D44" s="32" t="n">
        <f aca="false">'Raw Data'!E48</f>
        <v>1257</v>
      </c>
      <c r="E44" s="32" t="n">
        <f aca="false">'Raw Data'!F48</f>
        <v>879</v>
      </c>
      <c r="F44" s="32" t="n">
        <f aca="false">'Raw Data'!G48+'Raw Data'!H48</f>
        <v>9578</v>
      </c>
      <c r="G44" s="32" t="n">
        <f aca="false">'Raw Data'!I48</f>
        <v>1238</v>
      </c>
      <c r="H44" s="32" t="n">
        <f aca="false">'Raw Data'!J48</f>
        <v>11900</v>
      </c>
      <c r="I44" s="32" t="n">
        <f aca="false">'Raw Data'!K48</f>
        <v>4342</v>
      </c>
      <c r="J44" s="33" t="n">
        <f aca="false">G44/F44</f>
        <v>0.129254541657966</v>
      </c>
      <c r="K44" s="34" t="n">
        <f aca="false">E44/F44</f>
        <v>0.0917728126957611</v>
      </c>
      <c r="L44" s="34" t="n">
        <f aca="false">E44/H44</f>
        <v>0.0738655462184874</v>
      </c>
      <c r="M44" s="35" t="n">
        <f aca="false">LN(H44)</f>
        <v>9.38429367909962</v>
      </c>
      <c r="N44" s="34" t="n">
        <f aca="false">(C44-'Raw Data'!D47)/'Raw Data'!D47</f>
        <v>0.0309710721582966</v>
      </c>
      <c r="O44" s="34" t="n">
        <f aca="false">I44/H44</f>
        <v>0.364873949579832</v>
      </c>
      <c r="P44" s="33" t="n">
        <f aca="false">'Raw Data'!L48</f>
        <v>30.4</v>
      </c>
      <c r="Q44" s="33" t="n">
        <f aca="false">'Raw Data'!M48/'Raw Data'!N48</f>
        <v>5.60977859778598</v>
      </c>
      <c r="R44" s="46" t="n">
        <f aca="false">IF(OR(B44="FY19-20",B44="FY20-21"),1,0)</f>
        <v>0</v>
      </c>
      <c r="S44" s="33" t="n">
        <f aca="false">J44</f>
        <v>0.129254541657966</v>
      </c>
      <c r="T44" s="35" t="n">
        <f aca="false">M44</f>
        <v>9.38429367909962</v>
      </c>
      <c r="U44" s="34" t="n">
        <f aca="false">N44</f>
        <v>0.0309710721582966</v>
      </c>
      <c r="V44" s="34" t="n">
        <f aca="false">O44</f>
        <v>0.364873949579832</v>
      </c>
      <c r="W44" s="46" t="n">
        <f aca="false">R44</f>
        <v>0</v>
      </c>
    </row>
    <row r="45" customFormat="false" ht="15" hidden="false" customHeight="true" outlineLevel="0" collapsed="false">
      <c r="A45" s="18" t="s">
        <v>65</v>
      </c>
      <c r="B45" s="18" t="s">
        <v>99</v>
      </c>
      <c r="C45" s="28" t="n">
        <f aca="false">'Raw Data'!D50</f>
        <v>3665</v>
      </c>
      <c r="D45" s="28" t="n">
        <f aca="false">'Raw Data'!E50</f>
        <v>730</v>
      </c>
      <c r="E45" s="28" t="n">
        <f aca="false">'Raw Data'!F50</f>
        <v>242</v>
      </c>
      <c r="F45" s="28" t="n">
        <f aca="false">'Raw Data'!G50+'Raw Data'!H50</f>
        <v>2415</v>
      </c>
      <c r="G45" s="28" t="n">
        <f aca="false">'Raw Data'!I50</f>
        <v>3503</v>
      </c>
      <c r="H45" s="28" t="n">
        <f aca="false">'Raw Data'!J50</f>
        <v>6506</v>
      </c>
      <c r="I45" s="28" t="n">
        <f aca="false">'Raw Data'!K50</f>
        <v>4755</v>
      </c>
      <c r="J45" s="29" t="n">
        <f aca="false">G45/F45</f>
        <v>1.45051759834369</v>
      </c>
      <c r="K45" s="30" t="n">
        <f aca="false">E45/F45</f>
        <v>0.100207039337474</v>
      </c>
      <c r="L45" s="30" t="n">
        <f aca="false">E45/H45</f>
        <v>0.0371964340608669</v>
      </c>
      <c r="M45" s="31" t="n">
        <f aca="false">LN(H45)</f>
        <v>8.7804801070333</v>
      </c>
      <c r="N45" s="30" t="n">
        <f aca="false">(C45-'Raw Data'!D49)/'Raw Data'!D49</f>
        <v>-0.0187416331994645</v>
      </c>
      <c r="O45" s="30" t="n">
        <f aca="false">I45/H45</f>
        <v>0.730863818014141</v>
      </c>
      <c r="P45" s="29" t="n">
        <f aca="false">'Raw Data'!L50</f>
        <v>0.48</v>
      </c>
      <c r="Q45" s="29" t="n">
        <f aca="false">'Raw Data'!M50/'Raw Data'!N50</f>
        <v>2.88945578231293</v>
      </c>
      <c r="R45" s="45" t="n">
        <f aca="false">IF(OR(B45="FY19-20",B45="FY20-21"),1,0)</f>
        <v>0</v>
      </c>
      <c r="S45" s="29" t="n">
        <f aca="false">J45</f>
        <v>1.45051759834369</v>
      </c>
      <c r="T45" s="31" t="n">
        <f aca="false">M45</f>
        <v>8.7804801070333</v>
      </c>
      <c r="U45" s="30" t="n">
        <f aca="false">N45</f>
        <v>-0.0187416331994645</v>
      </c>
      <c r="V45" s="30" t="n">
        <f aca="false">O45</f>
        <v>0.730863818014141</v>
      </c>
      <c r="W45" s="45" t="n">
        <f aca="false">R45</f>
        <v>0</v>
      </c>
    </row>
    <row r="46" customFormat="false" ht="15" hidden="false" customHeight="true" outlineLevel="0" collapsed="false">
      <c r="A46" s="18" t="s">
        <v>65</v>
      </c>
      <c r="B46" s="18" t="s">
        <v>100</v>
      </c>
      <c r="C46" s="28" t="n">
        <f aca="false">'Raw Data'!D51</f>
        <v>4617</v>
      </c>
      <c r="D46" s="28" t="n">
        <f aca="false">'Raw Data'!E51</f>
        <v>886</v>
      </c>
      <c r="E46" s="28" t="n">
        <f aca="false">'Raw Data'!F51</f>
        <v>337</v>
      </c>
      <c r="F46" s="28" t="n">
        <f aca="false">'Raw Data'!G51+'Raw Data'!H51</f>
        <v>2725</v>
      </c>
      <c r="G46" s="28" t="n">
        <f aca="false">'Raw Data'!I51</f>
        <v>2849</v>
      </c>
      <c r="H46" s="28" t="n">
        <f aca="false">'Raw Data'!J51</f>
        <v>6150</v>
      </c>
      <c r="I46" s="28" t="n">
        <f aca="false">'Raw Data'!K51</f>
        <v>4467</v>
      </c>
      <c r="J46" s="29" t="n">
        <f aca="false">G46/F46</f>
        <v>1.04550458715596</v>
      </c>
      <c r="K46" s="30" t="n">
        <f aca="false">E46/F46</f>
        <v>0.123669724770642</v>
      </c>
      <c r="L46" s="30" t="n">
        <f aca="false">E46/H46</f>
        <v>0.0547967479674797</v>
      </c>
      <c r="M46" s="31" t="n">
        <f aca="false">LN(H46)</f>
        <v>8.72420736080056</v>
      </c>
      <c r="N46" s="30" t="n">
        <f aca="false">(C46-'Raw Data'!D50)/'Raw Data'!D50</f>
        <v>0.259754433833561</v>
      </c>
      <c r="O46" s="30" t="n">
        <f aca="false">I46/H46</f>
        <v>0.726341463414634</v>
      </c>
      <c r="P46" s="29" t="n">
        <f aca="false">'Raw Data'!L51</f>
        <v>0.66</v>
      </c>
      <c r="Q46" s="29" t="n">
        <f aca="false">'Raw Data'!M51/'Raw Data'!N51</f>
        <v>2.79166666666667</v>
      </c>
      <c r="R46" s="45" t="n">
        <f aca="false">IF(OR(B46="FY19-20",B46="FY20-21"),1,0)</f>
        <v>0</v>
      </c>
      <c r="S46" s="29" t="n">
        <f aca="false">J46</f>
        <v>1.04550458715596</v>
      </c>
      <c r="T46" s="31" t="n">
        <f aca="false">M46</f>
        <v>8.72420736080056</v>
      </c>
      <c r="U46" s="30" t="n">
        <f aca="false">N46</f>
        <v>0.259754433833561</v>
      </c>
      <c r="V46" s="30" t="n">
        <f aca="false">O46</f>
        <v>0.726341463414634</v>
      </c>
      <c r="W46" s="45" t="n">
        <f aca="false">R46</f>
        <v>0</v>
      </c>
    </row>
    <row r="47" customFormat="false" ht="15" hidden="false" customHeight="true" outlineLevel="0" collapsed="false">
      <c r="A47" s="18" t="s">
        <v>65</v>
      </c>
      <c r="B47" s="18" t="s">
        <v>101</v>
      </c>
      <c r="C47" s="28" t="n">
        <f aca="false">'Raw Data'!D52</f>
        <v>4566</v>
      </c>
      <c r="D47" s="28" t="n">
        <f aca="false">'Raw Data'!E52</f>
        <v>852</v>
      </c>
      <c r="E47" s="28" t="n">
        <f aca="false">'Raw Data'!F52</f>
        <v>266</v>
      </c>
      <c r="F47" s="28" t="n">
        <f aca="false">'Raw Data'!G52+'Raw Data'!H52</f>
        <v>2694</v>
      </c>
      <c r="G47" s="28" t="n">
        <f aca="false">'Raw Data'!I52</f>
        <v>2798</v>
      </c>
      <c r="H47" s="28" t="n">
        <f aca="false">'Raw Data'!J52</f>
        <v>6129</v>
      </c>
      <c r="I47" s="28" t="n">
        <f aca="false">'Raw Data'!K52</f>
        <v>4079</v>
      </c>
      <c r="J47" s="29" t="n">
        <f aca="false">G47/F47</f>
        <v>1.03860430586488</v>
      </c>
      <c r="K47" s="30" t="n">
        <f aca="false">E47/F47</f>
        <v>0.0987379361544172</v>
      </c>
      <c r="L47" s="30" t="n">
        <f aca="false">E47/H47</f>
        <v>0.0434002284222549</v>
      </c>
      <c r="M47" s="31" t="n">
        <f aca="false">LN(H47)</f>
        <v>8.72078688348573</v>
      </c>
      <c r="N47" s="30" t="n">
        <f aca="false">(C47-'Raw Data'!D51)/'Raw Data'!D51</f>
        <v>-0.0110461338531514</v>
      </c>
      <c r="O47" s="30" t="n">
        <f aca="false">I47/H47</f>
        <v>0.665524555392397</v>
      </c>
      <c r="P47" s="29" t="n">
        <f aca="false">'Raw Data'!L52</f>
        <v>0.52</v>
      </c>
      <c r="Q47" s="29" t="n">
        <f aca="false">'Raw Data'!M52/'Raw Data'!N52</f>
        <v>3.08307210031348</v>
      </c>
      <c r="R47" s="45" t="n">
        <f aca="false">IF(OR(B47="FY19-20",B47="FY20-21"),1,0)</f>
        <v>0</v>
      </c>
      <c r="S47" s="29" t="n">
        <f aca="false">J47</f>
        <v>1.03860430586488</v>
      </c>
      <c r="T47" s="31" t="n">
        <f aca="false">M47</f>
        <v>8.72078688348573</v>
      </c>
      <c r="U47" s="30" t="n">
        <f aca="false">N47</f>
        <v>-0.0110461338531514</v>
      </c>
      <c r="V47" s="30" t="n">
        <f aca="false">O47</f>
        <v>0.665524555392397</v>
      </c>
      <c r="W47" s="45" t="n">
        <f aca="false">R47</f>
        <v>0</v>
      </c>
    </row>
    <row r="48" customFormat="false" ht="15" hidden="false" customHeight="true" outlineLevel="0" collapsed="false">
      <c r="A48" s="18" t="s">
        <v>65</v>
      </c>
      <c r="B48" s="18" t="s">
        <v>102</v>
      </c>
      <c r="C48" s="28" t="n">
        <f aca="false">'Raw Data'!D53</f>
        <v>5220</v>
      </c>
      <c r="D48" s="28" t="n">
        <f aca="false">'Raw Data'!E53</f>
        <v>977</v>
      </c>
      <c r="E48" s="28" t="n">
        <f aca="false">'Raw Data'!F53</f>
        <v>371</v>
      </c>
      <c r="F48" s="28" t="n">
        <f aca="false">'Raw Data'!G53+'Raw Data'!H53</f>
        <v>2932</v>
      </c>
      <c r="G48" s="28" t="n">
        <f aca="false">'Raw Data'!I53</f>
        <v>2436</v>
      </c>
      <c r="H48" s="28" t="n">
        <f aca="false">'Raw Data'!J53</f>
        <v>6103</v>
      </c>
      <c r="I48" s="28" t="n">
        <f aca="false">'Raw Data'!K53</f>
        <v>3848</v>
      </c>
      <c r="J48" s="29" t="n">
        <f aca="false">G48/F48</f>
        <v>0.830832196452933</v>
      </c>
      <c r="K48" s="30" t="n">
        <f aca="false">E48/F48</f>
        <v>0.126534788540246</v>
      </c>
      <c r="L48" s="30" t="n">
        <f aca="false">E48/H48</f>
        <v>0.060789775520236</v>
      </c>
      <c r="M48" s="31" t="n">
        <f aca="false">LN(H48)</f>
        <v>8.7165357325445</v>
      </c>
      <c r="N48" s="30" t="n">
        <f aca="false">(C48-'Raw Data'!D52)/'Raw Data'!D52</f>
        <v>0.14323258869908</v>
      </c>
      <c r="O48" s="30" t="n">
        <f aca="false">I48/H48</f>
        <v>0.630509585449779</v>
      </c>
      <c r="P48" s="29" t="n">
        <f aca="false">'Raw Data'!L53</f>
        <v>0.73</v>
      </c>
      <c r="Q48" s="29" t="n">
        <f aca="false">'Raw Data'!M53/'Raw Data'!N53</f>
        <v>2.84646739130435</v>
      </c>
      <c r="R48" s="45" t="n">
        <f aca="false">IF(OR(B48="FY19-20",B48="FY20-21"),1,0)</f>
        <v>0</v>
      </c>
      <c r="S48" s="29" t="n">
        <f aca="false">J48</f>
        <v>0.830832196452933</v>
      </c>
      <c r="T48" s="31" t="n">
        <f aca="false">M48</f>
        <v>8.7165357325445</v>
      </c>
      <c r="U48" s="30" t="n">
        <f aca="false">N48</f>
        <v>0.14323258869908</v>
      </c>
      <c r="V48" s="30" t="n">
        <f aca="false">O48</f>
        <v>0.630509585449779</v>
      </c>
      <c r="W48" s="45" t="n">
        <f aca="false">R48</f>
        <v>0</v>
      </c>
    </row>
    <row r="49" customFormat="false" ht="15" hidden="false" customHeight="true" outlineLevel="0" collapsed="false">
      <c r="A49" s="18" t="s">
        <v>65</v>
      </c>
      <c r="B49" s="18" t="s">
        <v>103</v>
      </c>
      <c r="C49" s="28" t="n">
        <f aca="false">'Raw Data'!D54</f>
        <v>4699</v>
      </c>
      <c r="D49" s="28" t="n">
        <f aca="false">'Raw Data'!E54</f>
        <v>841</v>
      </c>
      <c r="E49" s="28" t="n">
        <f aca="false">'Raw Data'!F54</f>
        <v>342</v>
      </c>
      <c r="F49" s="28" t="n">
        <f aca="false">'Raw Data'!G54+'Raw Data'!H54</f>
        <v>2967</v>
      </c>
      <c r="G49" s="28" t="n">
        <f aca="false">'Raw Data'!I54</f>
        <v>1991</v>
      </c>
      <c r="H49" s="28" t="n">
        <f aca="false">'Raw Data'!J54</f>
        <v>5718</v>
      </c>
      <c r="I49" s="28" t="n">
        <f aca="false">'Raw Data'!K54</f>
        <v>3826</v>
      </c>
      <c r="J49" s="29" t="n">
        <f aca="false">G49/F49</f>
        <v>0.671048196831817</v>
      </c>
      <c r="K49" s="30" t="n">
        <f aca="false">E49/F49</f>
        <v>0.115267947421638</v>
      </c>
      <c r="L49" s="30" t="n">
        <f aca="false">E49/H49</f>
        <v>0.0598111227701994</v>
      </c>
      <c r="M49" s="31" t="n">
        <f aca="false">LN(H49)</f>
        <v>8.65137437288226</v>
      </c>
      <c r="N49" s="30" t="n">
        <f aca="false">(C49-'Raw Data'!D53)/'Raw Data'!D53</f>
        <v>-0.099808429118774</v>
      </c>
      <c r="O49" s="30" t="n">
        <f aca="false">I49/H49</f>
        <v>0.669115075201119</v>
      </c>
      <c r="P49" s="29" t="n">
        <f aca="false">'Raw Data'!L54</f>
        <v>0.67</v>
      </c>
      <c r="Q49" s="29" t="n">
        <f aca="false">'Raw Data'!M54/'Raw Data'!N54</f>
        <v>2.38239159001314</v>
      </c>
      <c r="R49" s="45" t="n">
        <f aca="false">IF(OR(B49="FY19-20",B49="FY20-21"),1,0)</f>
        <v>1</v>
      </c>
      <c r="S49" s="29" t="n">
        <f aca="false">J49</f>
        <v>0.671048196831817</v>
      </c>
      <c r="T49" s="31" t="n">
        <f aca="false">M49</f>
        <v>8.65137437288226</v>
      </c>
      <c r="U49" s="30" t="n">
        <f aca="false">N49</f>
        <v>-0.099808429118774</v>
      </c>
      <c r="V49" s="30" t="n">
        <f aca="false">O49</f>
        <v>0.669115075201119</v>
      </c>
      <c r="W49" s="45" t="n">
        <f aca="false">R49</f>
        <v>1</v>
      </c>
    </row>
    <row r="50" customFormat="false" ht="15" hidden="false" customHeight="true" outlineLevel="0" collapsed="false">
      <c r="A50" s="18" t="s">
        <v>65</v>
      </c>
      <c r="B50" s="18" t="s">
        <v>104</v>
      </c>
      <c r="C50" s="28" t="n">
        <f aca="false">'Raw Data'!D55</f>
        <v>4519</v>
      </c>
      <c r="D50" s="28" t="n">
        <f aca="false">'Raw Data'!E55</f>
        <v>814</v>
      </c>
      <c r="E50" s="28" t="n">
        <f aca="false">'Raw Data'!F55</f>
        <v>346</v>
      </c>
      <c r="F50" s="28" t="n">
        <f aca="false">'Raw Data'!G55+'Raw Data'!H55</f>
        <v>3317</v>
      </c>
      <c r="G50" s="28" t="n">
        <f aca="false">'Raw Data'!I55</f>
        <v>1562</v>
      </c>
      <c r="H50" s="28" t="n">
        <f aca="false">'Raw Data'!J55</f>
        <v>5754</v>
      </c>
      <c r="I50" s="28" t="n">
        <f aca="false">'Raw Data'!K55</f>
        <v>3854</v>
      </c>
      <c r="J50" s="29" t="n">
        <f aca="false">G50/F50</f>
        <v>0.47090744648779</v>
      </c>
      <c r="K50" s="30" t="n">
        <f aca="false">E50/F50</f>
        <v>0.104311124510099</v>
      </c>
      <c r="L50" s="30" t="n">
        <f aca="false">E50/H50</f>
        <v>0.0601320820298923</v>
      </c>
      <c r="M50" s="31" t="n">
        <f aca="false">LN(H50)</f>
        <v>8.65765054411149</v>
      </c>
      <c r="N50" s="30" t="n">
        <f aca="false">(C50-'Raw Data'!D54)/'Raw Data'!D54</f>
        <v>-0.0383060225579911</v>
      </c>
      <c r="O50" s="30" t="n">
        <f aca="false">I50/H50</f>
        <v>0.669794925269378</v>
      </c>
      <c r="P50" s="29" t="n">
        <f aca="false">'Raw Data'!L55</f>
        <v>0.68</v>
      </c>
      <c r="Q50" s="29" t="n">
        <f aca="false">'Raw Data'!M55/'Raw Data'!N55</f>
        <v>2.16438356164384</v>
      </c>
      <c r="R50" s="45" t="n">
        <f aca="false">IF(OR(B50="FY19-20",B50="FY20-21"),1,0)</f>
        <v>1</v>
      </c>
      <c r="S50" s="29" t="n">
        <f aca="false">J50</f>
        <v>0.47090744648779</v>
      </c>
      <c r="T50" s="31" t="n">
        <f aca="false">M50</f>
        <v>8.65765054411149</v>
      </c>
      <c r="U50" s="30" t="n">
        <f aca="false">N50</f>
        <v>-0.0383060225579911</v>
      </c>
      <c r="V50" s="30" t="n">
        <f aca="false">O50</f>
        <v>0.669794925269378</v>
      </c>
      <c r="W50" s="45" t="n">
        <f aca="false">R50</f>
        <v>1</v>
      </c>
    </row>
    <row r="51" customFormat="false" ht="15" hidden="false" customHeight="true" outlineLevel="0" collapsed="false">
      <c r="A51" s="18" t="s">
        <v>65</v>
      </c>
      <c r="B51" s="18" t="s">
        <v>105</v>
      </c>
      <c r="C51" s="28" t="n">
        <f aca="false">'Raw Data'!D56</f>
        <v>6919</v>
      </c>
      <c r="D51" s="28" t="n">
        <f aca="false">'Raw Data'!E56</f>
        <v>1495</v>
      </c>
      <c r="E51" s="28" t="n">
        <f aca="false">'Raw Data'!F56</f>
        <v>815</v>
      </c>
      <c r="F51" s="28" t="n">
        <f aca="false">'Raw Data'!G56+'Raw Data'!H56</f>
        <v>3798</v>
      </c>
      <c r="G51" s="28" t="n">
        <f aca="false">'Raw Data'!I56</f>
        <v>1596</v>
      </c>
      <c r="H51" s="28" t="n">
        <f aca="false">'Raw Data'!J56</f>
        <v>6431</v>
      </c>
      <c r="I51" s="28" t="n">
        <f aca="false">'Raw Data'!K56</f>
        <v>3795</v>
      </c>
      <c r="J51" s="29" t="n">
        <f aca="false">G51/F51</f>
        <v>0.420221169036335</v>
      </c>
      <c r="K51" s="30" t="n">
        <f aca="false">E51/F51</f>
        <v>0.214586624539231</v>
      </c>
      <c r="L51" s="30" t="n">
        <f aca="false">E51/H51</f>
        <v>0.126729902037008</v>
      </c>
      <c r="M51" s="31" t="n">
        <f aca="false">LN(H51)</f>
        <v>8.76888532613486</v>
      </c>
      <c r="N51" s="30" t="n">
        <f aca="false">(C51-'Raw Data'!D55)/'Raw Data'!D55</f>
        <v>0.531090949325072</v>
      </c>
      <c r="O51" s="30" t="n">
        <f aca="false">I51/H51</f>
        <v>0.590110402736744</v>
      </c>
      <c r="P51" s="29" t="n">
        <f aca="false">'Raw Data'!L56</f>
        <v>1.6</v>
      </c>
      <c r="Q51" s="29" t="n">
        <f aca="false">'Raw Data'!M56/'Raw Data'!N56</f>
        <v>2.5380906460945</v>
      </c>
      <c r="R51" s="45" t="n">
        <f aca="false">IF(OR(B51="FY19-20",B51="FY20-21"),1,0)</f>
        <v>0</v>
      </c>
      <c r="S51" s="29" t="n">
        <f aca="false">J51</f>
        <v>0.420221169036335</v>
      </c>
      <c r="T51" s="31" t="n">
        <f aca="false">M51</f>
        <v>8.76888532613486</v>
      </c>
      <c r="U51" s="30" t="n">
        <f aca="false">N51</f>
        <v>0.531090949325072</v>
      </c>
      <c r="V51" s="30" t="n">
        <f aca="false">O51</f>
        <v>0.590110402736744</v>
      </c>
      <c r="W51" s="45" t="n">
        <f aca="false">R51</f>
        <v>0</v>
      </c>
    </row>
    <row r="52" customFormat="false" ht="15" hidden="false" customHeight="true" outlineLevel="0" collapsed="false">
      <c r="A52" s="18" t="s">
        <v>65</v>
      </c>
      <c r="B52" s="18" t="s">
        <v>106</v>
      </c>
      <c r="C52" s="28" t="n">
        <f aca="false">'Raw Data'!D57</f>
        <v>6267</v>
      </c>
      <c r="D52" s="28" t="n">
        <f aca="false">'Raw Data'!E57</f>
        <v>918</v>
      </c>
      <c r="E52" s="28" t="n">
        <f aca="false">'Raw Data'!F57</f>
        <v>422</v>
      </c>
      <c r="F52" s="28" t="n">
        <f aca="false">'Raw Data'!G57+'Raw Data'!H57</f>
        <v>4126</v>
      </c>
      <c r="G52" s="28" t="n">
        <f aca="false">'Raw Data'!I57</f>
        <v>1404</v>
      </c>
      <c r="H52" s="28" t="n">
        <f aca="false">'Raw Data'!J57</f>
        <v>6713</v>
      </c>
      <c r="I52" s="28" t="n">
        <f aca="false">'Raw Data'!K57</f>
        <v>4422</v>
      </c>
      <c r="J52" s="29" t="n">
        <f aca="false">G52/F52</f>
        <v>0.340281143965099</v>
      </c>
      <c r="K52" s="30" t="n">
        <f aca="false">E52/F52</f>
        <v>0.102278235579254</v>
      </c>
      <c r="L52" s="30" t="n">
        <f aca="false">E52/H52</f>
        <v>0.0628631014449576</v>
      </c>
      <c r="M52" s="31" t="n">
        <f aca="false">LN(H52)</f>
        <v>8.81180122393875</v>
      </c>
      <c r="N52" s="30" t="n">
        <f aca="false">(C52-'Raw Data'!D56)/'Raw Data'!D56</f>
        <v>-0.0942332707038589</v>
      </c>
      <c r="O52" s="30" t="n">
        <f aca="false">I52/H52</f>
        <v>0.658721882913749</v>
      </c>
      <c r="P52" s="29" t="n">
        <f aca="false">'Raw Data'!L57</f>
        <v>0.83</v>
      </c>
      <c r="Q52" s="29" t="n">
        <f aca="false">'Raw Data'!M57/'Raw Data'!N57</f>
        <v>1.93243243243243</v>
      </c>
      <c r="R52" s="45" t="n">
        <f aca="false">IF(OR(B52="FY19-20",B52="FY20-21"),1,0)</f>
        <v>0</v>
      </c>
      <c r="S52" s="29" t="n">
        <f aca="false">J52</f>
        <v>0.340281143965099</v>
      </c>
      <c r="T52" s="31" t="n">
        <f aca="false">M52</f>
        <v>8.81180122393875</v>
      </c>
      <c r="U52" s="30" t="n">
        <f aca="false">N52</f>
        <v>-0.0942332707038589</v>
      </c>
      <c r="V52" s="30" t="n">
        <f aca="false">O52</f>
        <v>0.658721882913749</v>
      </c>
      <c r="W52" s="45" t="n">
        <f aca="false">R52</f>
        <v>0</v>
      </c>
    </row>
    <row r="53" customFormat="false" ht="15" hidden="false" customHeight="true" outlineLevel="0" collapsed="false">
      <c r="A53" s="18" t="s">
        <v>65</v>
      </c>
      <c r="B53" s="18" t="s">
        <v>107</v>
      </c>
      <c r="C53" s="28" t="n">
        <f aca="false">'Raw Data'!D58</f>
        <v>6730</v>
      </c>
      <c r="D53" s="28" t="n">
        <f aca="false">'Raw Data'!E58</f>
        <v>935</v>
      </c>
      <c r="E53" s="28" t="n">
        <f aca="false">'Raw Data'!F58</f>
        <v>390</v>
      </c>
      <c r="F53" s="28" t="n">
        <f aca="false">'Raw Data'!G58+'Raw Data'!H58</f>
        <v>4310</v>
      </c>
      <c r="G53" s="28" t="n">
        <f aca="false">'Raw Data'!I58</f>
        <v>2094</v>
      </c>
      <c r="H53" s="28" t="n">
        <f aca="false">'Raw Data'!J58</f>
        <v>7522</v>
      </c>
      <c r="I53" s="28" t="n">
        <f aca="false">'Raw Data'!K58</f>
        <v>4663</v>
      </c>
      <c r="J53" s="29" t="n">
        <f aca="false">G53/F53</f>
        <v>0.48584686774942</v>
      </c>
      <c r="K53" s="30" t="n">
        <f aca="false">E53/F53</f>
        <v>0.0904872389791183</v>
      </c>
      <c r="L53" s="30" t="n">
        <f aca="false">E53/H53</f>
        <v>0.0518479127891518</v>
      </c>
      <c r="M53" s="31" t="n">
        <f aca="false">LN(H53)</f>
        <v>8.92558733903028</v>
      </c>
      <c r="N53" s="30" t="n">
        <f aca="false">(C53-'Raw Data'!D57)/'Raw Data'!D57</f>
        <v>0.073879048986756</v>
      </c>
      <c r="O53" s="30" t="n">
        <f aca="false">I53/H53</f>
        <v>0.619914916245679</v>
      </c>
      <c r="P53" s="29" t="n">
        <f aca="false">'Raw Data'!L58</f>
        <v>0.76</v>
      </c>
      <c r="Q53" s="29" t="n">
        <f aca="false">'Raw Data'!M58/'Raw Data'!N58</f>
        <v>2.50938337801609</v>
      </c>
      <c r="R53" s="45" t="n">
        <f aca="false">IF(OR(B53="FY19-20",B53="FY20-21"),1,0)</f>
        <v>0</v>
      </c>
      <c r="S53" s="29" t="n">
        <f aca="false">J53</f>
        <v>0.48584686774942</v>
      </c>
      <c r="T53" s="31" t="n">
        <f aca="false">M53</f>
        <v>8.92558733903028</v>
      </c>
      <c r="U53" s="30" t="n">
        <f aca="false">N53</f>
        <v>0.073879048986756</v>
      </c>
      <c r="V53" s="30" t="n">
        <f aca="false">O53</f>
        <v>0.619914916245679</v>
      </c>
      <c r="W53" s="45" t="n">
        <f aca="false">R53</f>
        <v>0</v>
      </c>
    </row>
    <row r="54" customFormat="false" ht="15" hidden="false" customHeight="true" outlineLevel="0" collapsed="false">
      <c r="A54" s="18" t="s">
        <v>65</v>
      </c>
      <c r="B54" s="18" t="s">
        <v>108</v>
      </c>
      <c r="C54" s="28" t="n">
        <f aca="false">'Raw Data'!D59</f>
        <v>6966</v>
      </c>
      <c r="D54" s="28" t="n">
        <f aca="false">'Raw Data'!E59</f>
        <v>886</v>
      </c>
      <c r="E54" s="28" t="n">
        <f aca="false">'Raw Data'!F59</f>
        <v>367</v>
      </c>
      <c r="F54" s="28" t="n">
        <f aca="false">'Raw Data'!G59+'Raw Data'!H59</f>
        <v>4611</v>
      </c>
      <c r="G54" s="28" t="n">
        <f aca="false">'Raw Data'!I59</f>
        <v>1606</v>
      </c>
      <c r="H54" s="28" t="n">
        <f aca="false">'Raw Data'!J59</f>
        <v>7129</v>
      </c>
      <c r="I54" s="28" t="n">
        <f aca="false">'Raw Data'!K59</f>
        <v>4478</v>
      </c>
      <c r="J54" s="29" t="n">
        <f aca="false">G54/F54</f>
        <v>0.348297549338538</v>
      </c>
      <c r="K54" s="30" t="n">
        <f aca="false">E54/F54</f>
        <v>0.0795922793320321</v>
      </c>
      <c r="L54" s="30" t="n">
        <f aca="false">E54/H54</f>
        <v>0.0514798709496423</v>
      </c>
      <c r="M54" s="31" t="n">
        <f aca="false">LN(H54)</f>
        <v>8.87192625111763</v>
      </c>
      <c r="N54" s="30" t="n">
        <f aca="false">(C54-'Raw Data'!D58)/'Raw Data'!D58</f>
        <v>0.0350668647845468</v>
      </c>
      <c r="O54" s="30" t="n">
        <f aca="false">I54/H54</f>
        <v>0.628138588862393</v>
      </c>
      <c r="P54" s="29" t="n">
        <f aca="false">'Raw Data'!L59</f>
        <v>0.72</v>
      </c>
      <c r="Q54" s="29" t="n">
        <f aca="false">'Raw Data'!M59/'Raw Data'!N59</f>
        <v>2.88170865279299</v>
      </c>
      <c r="R54" s="45" t="n">
        <f aca="false">IF(OR(B54="FY19-20",B54="FY20-21"),1,0)</f>
        <v>0</v>
      </c>
      <c r="S54" s="29" t="n">
        <f aca="false">J54</f>
        <v>0.348297549338538</v>
      </c>
      <c r="T54" s="31" t="n">
        <f aca="false">M54</f>
        <v>8.87192625111763</v>
      </c>
      <c r="U54" s="30" t="n">
        <f aca="false">N54</f>
        <v>0.0350668647845468</v>
      </c>
      <c r="V54" s="30" t="n">
        <f aca="false">O54</f>
        <v>0.628138588862393</v>
      </c>
      <c r="W54" s="45" t="n">
        <f aca="false">R54</f>
        <v>0</v>
      </c>
    </row>
    <row r="55" customFormat="false" ht="15" hidden="false" customHeight="true" outlineLevel="0" collapsed="false">
      <c r="A55" s="21" t="s">
        <v>66</v>
      </c>
      <c r="B55" s="21" t="s">
        <v>99</v>
      </c>
      <c r="C55" s="32" t="n">
        <f aca="false">'Raw Data'!D61</f>
        <v>5357</v>
      </c>
      <c r="D55" s="32" t="n">
        <f aca="false">'Raw Data'!E61</f>
        <v>808</v>
      </c>
      <c r="E55" s="32" t="n">
        <f aca="false">'Raw Data'!F61</f>
        <v>321</v>
      </c>
      <c r="F55" s="32" t="n">
        <f aca="false">'Raw Data'!G61+'Raw Data'!H61</f>
        <v>2986</v>
      </c>
      <c r="G55" s="32" t="n">
        <f aca="false">'Raw Data'!I61</f>
        <v>3123</v>
      </c>
      <c r="H55" s="32" t="n">
        <f aca="false">'Raw Data'!J61</f>
        <v>6990</v>
      </c>
      <c r="I55" s="32" t="n">
        <f aca="false">'Raw Data'!K61</f>
        <v>2928</v>
      </c>
      <c r="J55" s="33" t="n">
        <f aca="false">G55/F55</f>
        <v>1.04588077695914</v>
      </c>
      <c r="K55" s="34" t="n">
        <f aca="false">E55/F55</f>
        <v>0.107501674480911</v>
      </c>
      <c r="L55" s="34" t="n">
        <f aca="false">E55/H55</f>
        <v>0.0459227467811159</v>
      </c>
      <c r="M55" s="35" t="n">
        <f aca="false">LN(H55)</f>
        <v>8.85223583522786</v>
      </c>
      <c r="N55" s="34" t="n">
        <f aca="false">(C55-'Raw Data'!D60)/'Raw Data'!D60</f>
        <v>0.0252631578947368</v>
      </c>
      <c r="O55" s="34" t="n">
        <f aca="false">I55/H55</f>
        <v>0.418884120171674</v>
      </c>
      <c r="P55" s="33" t="n">
        <f aca="false">'Raw Data'!L61</f>
        <v>12.42</v>
      </c>
      <c r="Q55" s="33" t="n">
        <f aca="false">'Raw Data'!M61/'Raw Data'!N61</f>
        <v>3.17727272727273</v>
      </c>
      <c r="R55" s="46" t="n">
        <f aca="false">IF(OR(B55="FY19-20",B55="FY20-21"),1,0)</f>
        <v>0</v>
      </c>
      <c r="S55" s="33" t="n">
        <f aca="false">J55</f>
        <v>1.04588077695914</v>
      </c>
      <c r="T55" s="35" t="n">
        <f aca="false">M55</f>
        <v>8.85223583522786</v>
      </c>
      <c r="U55" s="34" t="n">
        <f aca="false">N55</f>
        <v>0.0252631578947368</v>
      </c>
      <c r="V55" s="34" t="n">
        <f aca="false">O55</f>
        <v>0.418884120171674</v>
      </c>
      <c r="W55" s="46" t="n">
        <f aca="false">R55</f>
        <v>0</v>
      </c>
    </row>
    <row r="56" customFormat="false" ht="15" hidden="false" customHeight="true" outlineLevel="0" collapsed="false">
      <c r="A56" s="21" t="s">
        <v>66</v>
      </c>
      <c r="B56" s="21" t="s">
        <v>100</v>
      </c>
      <c r="C56" s="32" t="n">
        <f aca="false">'Raw Data'!D62</f>
        <v>5967</v>
      </c>
      <c r="D56" s="32" t="n">
        <f aca="false">'Raw Data'!E62</f>
        <v>732</v>
      </c>
      <c r="E56" s="32" t="n">
        <f aca="false">'Raw Data'!F62</f>
        <v>19</v>
      </c>
      <c r="F56" s="32" t="n">
        <f aca="false">'Raw Data'!G62+'Raw Data'!H62</f>
        <v>3011</v>
      </c>
      <c r="G56" s="32" t="n">
        <f aca="false">'Raw Data'!I62</f>
        <v>2428</v>
      </c>
      <c r="H56" s="32" t="n">
        <f aca="false">'Raw Data'!J62</f>
        <v>6458</v>
      </c>
      <c r="I56" s="32" t="n">
        <f aca="false">'Raw Data'!K62</f>
        <v>3177</v>
      </c>
      <c r="J56" s="33" t="n">
        <f aca="false">G56/F56</f>
        <v>0.806376619063434</v>
      </c>
      <c r="K56" s="34" t="n">
        <f aca="false">E56/F56</f>
        <v>0.00631019594818997</v>
      </c>
      <c r="L56" s="34" t="n">
        <f aca="false">E56/H56</f>
        <v>0.0029420873335398</v>
      </c>
      <c r="M56" s="35" t="n">
        <f aca="false">LN(H56)</f>
        <v>8.77307495131822</v>
      </c>
      <c r="N56" s="34" t="n">
        <f aca="false">(C56-'Raw Data'!D61)/'Raw Data'!D61</f>
        <v>0.113869703192085</v>
      </c>
      <c r="O56" s="34" t="n">
        <f aca="false">I56/H56</f>
        <v>0.491947971508207</v>
      </c>
      <c r="P56" s="33" t="n">
        <f aca="false">'Raw Data'!L62</f>
        <v>0.72</v>
      </c>
      <c r="Q56" s="33" t="n">
        <f aca="false">'Raw Data'!M62/'Raw Data'!N62</f>
        <v>2.71021611001965</v>
      </c>
      <c r="R56" s="46" t="n">
        <f aca="false">IF(OR(B56="FY19-20",B56="FY20-21"),1,0)</f>
        <v>0</v>
      </c>
      <c r="S56" s="33" t="n">
        <f aca="false">J56</f>
        <v>0.806376619063434</v>
      </c>
      <c r="T56" s="35" t="n">
        <f aca="false">M56</f>
        <v>8.77307495131822</v>
      </c>
      <c r="U56" s="34" t="n">
        <f aca="false">N56</f>
        <v>0.113869703192085</v>
      </c>
      <c r="V56" s="34" t="n">
        <f aca="false">O56</f>
        <v>0.491947971508207</v>
      </c>
      <c r="W56" s="46" t="n">
        <f aca="false">R56</f>
        <v>0</v>
      </c>
    </row>
    <row r="57" customFormat="false" ht="15" hidden="false" customHeight="true" outlineLevel="0" collapsed="false">
      <c r="A57" s="21" t="s">
        <v>66</v>
      </c>
      <c r="B57" s="21" t="s">
        <v>101</v>
      </c>
      <c r="C57" s="32" t="n">
        <f aca="false">'Raw Data'!D63</f>
        <v>6332</v>
      </c>
      <c r="D57" s="32" t="n">
        <f aca="false">'Raw Data'!E63</f>
        <v>639</v>
      </c>
      <c r="E57" s="32" t="n">
        <f aca="false">'Raw Data'!F63</f>
        <v>250</v>
      </c>
      <c r="F57" s="32" t="n">
        <f aca="false">'Raw Data'!G63+'Raw Data'!H63</f>
        <v>3159</v>
      </c>
      <c r="G57" s="32" t="n">
        <f aca="false">'Raw Data'!I63</f>
        <v>2562</v>
      </c>
      <c r="H57" s="32" t="n">
        <f aca="false">'Raw Data'!J63</f>
        <v>7044</v>
      </c>
      <c r="I57" s="32" t="n">
        <f aca="false">'Raw Data'!K63</f>
        <v>3208</v>
      </c>
      <c r="J57" s="33" t="n">
        <f aca="false">G57/F57</f>
        <v>0.811016144349478</v>
      </c>
      <c r="K57" s="34" t="n">
        <f aca="false">E57/F57</f>
        <v>0.0791389680278569</v>
      </c>
      <c r="L57" s="34" t="n">
        <f aca="false">E57/H57</f>
        <v>0.0354911981828507</v>
      </c>
      <c r="M57" s="35" t="n">
        <f aca="false">LN(H57)</f>
        <v>8.8599314696161</v>
      </c>
      <c r="N57" s="34" t="n">
        <f aca="false">(C57-'Raw Data'!D62)/'Raw Data'!D62</f>
        <v>0.06116976705212</v>
      </c>
      <c r="O57" s="34" t="n">
        <f aca="false">I57/H57</f>
        <v>0.45542305508234</v>
      </c>
      <c r="P57" s="33" t="n">
        <f aca="false">'Raw Data'!L63</f>
        <v>9.67</v>
      </c>
      <c r="Q57" s="33" t="n">
        <f aca="false">'Raw Data'!M63/'Raw Data'!N63</f>
        <v>2.23036253776435</v>
      </c>
      <c r="R57" s="46" t="n">
        <f aca="false">IF(OR(B57="FY19-20",B57="FY20-21"),1,0)</f>
        <v>0</v>
      </c>
      <c r="S57" s="33" t="n">
        <f aca="false">J57</f>
        <v>0.811016144349478</v>
      </c>
      <c r="T57" s="35" t="n">
        <f aca="false">M57</f>
        <v>8.8599314696161</v>
      </c>
      <c r="U57" s="34" t="n">
        <f aca="false">N57</f>
        <v>0.06116976705212</v>
      </c>
      <c r="V57" s="34" t="n">
        <f aca="false">O57</f>
        <v>0.45542305508234</v>
      </c>
      <c r="W57" s="46" t="n">
        <f aca="false">R57</f>
        <v>0</v>
      </c>
    </row>
    <row r="58" customFormat="false" ht="15" hidden="false" customHeight="true" outlineLevel="0" collapsed="false">
      <c r="A58" s="21" t="s">
        <v>66</v>
      </c>
      <c r="B58" s="21" t="s">
        <v>102</v>
      </c>
      <c r="C58" s="32" t="n">
        <f aca="false">'Raw Data'!D64</f>
        <v>6436</v>
      </c>
      <c r="D58" s="32" t="n">
        <f aca="false">'Raw Data'!E64</f>
        <v>633</v>
      </c>
      <c r="E58" s="32" t="n">
        <f aca="false">'Raw Data'!F64</f>
        <v>199</v>
      </c>
      <c r="F58" s="32" t="n">
        <f aca="false">'Raw Data'!G64+'Raw Data'!H64</f>
        <v>2817</v>
      </c>
      <c r="G58" s="32" t="n">
        <f aca="false">'Raw Data'!I64</f>
        <v>2652</v>
      </c>
      <c r="H58" s="32" t="n">
        <f aca="false">'Raw Data'!J64</f>
        <v>7014</v>
      </c>
      <c r="I58" s="32" t="n">
        <f aca="false">'Raw Data'!K64</f>
        <v>3362</v>
      </c>
      <c r="J58" s="33" t="n">
        <f aca="false">G58/F58</f>
        <v>0.941427050053248</v>
      </c>
      <c r="K58" s="34" t="n">
        <f aca="false">E58/F58</f>
        <v>0.0706425275115371</v>
      </c>
      <c r="L58" s="34" t="n">
        <f aca="false">E58/H58</f>
        <v>0.0283718277730254</v>
      </c>
      <c r="M58" s="35" t="n">
        <f aca="false">LN(H58)</f>
        <v>8.85566343070012</v>
      </c>
      <c r="N58" s="34" t="n">
        <f aca="false">(C58-'Raw Data'!D63)/'Raw Data'!D63</f>
        <v>0.016424510423247</v>
      </c>
      <c r="O58" s="34" t="n">
        <f aca="false">I58/H58</f>
        <v>0.479327060165384</v>
      </c>
      <c r="P58" s="33" t="n">
        <f aca="false">'Raw Data'!L64</f>
        <v>7.71</v>
      </c>
      <c r="Q58" s="33" t="n">
        <f aca="false">'Raw Data'!M64/'Raw Data'!N64</f>
        <v>2.02781371280724</v>
      </c>
      <c r="R58" s="46" t="n">
        <f aca="false">IF(OR(B58="FY19-20",B58="FY20-21"),1,0)</f>
        <v>0</v>
      </c>
      <c r="S58" s="33" t="n">
        <f aca="false">J58</f>
        <v>0.941427050053248</v>
      </c>
      <c r="T58" s="35" t="n">
        <f aca="false">M58</f>
        <v>8.85566343070012</v>
      </c>
      <c r="U58" s="34" t="n">
        <f aca="false">N58</f>
        <v>0.016424510423247</v>
      </c>
      <c r="V58" s="34" t="n">
        <f aca="false">O58</f>
        <v>0.479327060165384</v>
      </c>
      <c r="W58" s="46" t="n">
        <f aca="false">R58</f>
        <v>0</v>
      </c>
    </row>
    <row r="59" customFormat="false" ht="15" hidden="false" customHeight="true" outlineLevel="0" collapsed="false">
      <c r="A59" s="21" t="s">
        <v>66</v>
      </c>
      <c r="B59" s="21" t="s">
        <v>103</v>
      </c>
      <c r="C59" s="32" t="n">
        <f aca="false">'Raw Data'!D65</f>
        <v>6705</v>
      </c>
      <c r="D59" s="32" t="n">
        <f aca="false">'Raw Data'!E65</f>
        <v>708</v>
      </c>
      <c r="E59" s="32" t="n">
        <f aca="false">'Raw Data'!F65</f>
        <v>171</v>
      </c>
      <c r="F59" s="32" t="n">
        <f aca="false">'Raw Data'!G65+'Raw Data'!H65</f>
        <v>2854</v>
      </c>
      <c r="G59" s="32" t="n">
        <f aca="false">'Raw Data'!I65</f>
        <v>2431</v>
      </c>
      <c r="H59" s="32" t="n">
        <f aca="false">'Raw Data'!J65</f>
        <v>6815</v>
      </c>
      <c r="I59" s="32" t="n">
        <f aca="false">'Raw Data'!K65</f>
        <v>3532</v>
      </c>
      <c r="J59" s="33" t="n">
        <f aca="false">G59/F59</f>
        <v>0.851786965662228</v>
      </c>
      <c r="K59" s="34" t="n">
        <f aca="false">E59/F59</f>
        <v>0.0599159074982481</v>
      </c>
      <c r="L59" s="34" t="n">
        <f aca="false">E59/H59</f>
        <v>0.0250917094644167</v>
      </c>
      <c r="M59" s="35" t="n">
        <f aca="false">LN(H59)</f>
        <v>8.82688134413063</v>
      </c>
      <c r="N59" s="34" t="n">
        <f aca="false">(C59-'Raw Data'!D64)/'Raw Data'!D64</f>
        <v>0.0417961466749534</v>
      </c>
      <c r="O59" s="34" t="n">
        <f aca="false">I59/H59</f>
        <v>0.518268525311812</v>
      </c>
      <c r="P59" s="33" t="n">
        <f aca="false">'Raw Data'!L65</f>
        <v>6.62</v>
      </c>
      <c r="Q59" s="33" t="n">
        <f aca="false">'Raw Data'!M65/'Raw Data'!N65</f>
        <v>1.80261437908497</v>
      </c>
      <c r="R59" s="46" t="n">
        <f aca="false">IF(OR(B59="FY19-20",B59="FY20-21"),1,0)</f>
        <v>1</v>
      </c>
      <c r="S59" s="33" t="n">
        <f aca="false">J59</f>
        <v>0.851786965662228</v>
      </c>
      <c r="T59" s="35" t="n">
        <f aca="false">M59</f>
        <v>8.82688134413063</v>
      </c>
      <c r="U59" s="34" t="n">
        <f aca="false">N59</f>
        <v>0.0417961466749534</v>
      </c>
      <c r="V59" s="34" t="n">
        <f aca="false">O59</f>
        <v>0.518268525311812</v>
      </c>
      <c r="W59" s="46" t="n">
        <f aca="false">R59</f>
        <v>1</v>
      </c>
    </row>
    <row r="60" customFormat="false" ht="15" hidden="false" customHeight="true" outlineLevel="0" collapsed="false">
      <c r="A60" s="21" t="s">
        <v>66</v>
      </c>
      <c r="B60" s="21" t="s">
        <v>104</v>
      </c>
      <c r="C60" s="32" t="n">
        <f aca="false">'Raw Data'!D66</f>
        <v>4529</v>
      </c>
      <c r="D60" s="32" t="n">
        <f aca="false">'Raw Data'!E66</f>
        <v>477</v>
      </c>
      <c r="E60" s="32" t="n">
        <f aca="false">'Raw Data'!F66</f>
        <v>93</v>
      </c>
      <c r="F60" s="32" t="n">
        <f aca="false">'Raw Data'!G66+'Raw Data'!H66</f>
        <v>2941</v>
      </c>
      <c r="G60" s="32" t="n">
        <f aca="false">'Raw Data'!I66</f>
        <v>1985</v>
      </c>
      <c r="H60" s="32" t="n">
        <f aca="false">'Raw Data'!J66</f>
        <v>6609</v>
      </c>
      <c r="I60" s="32" t="n">
        <f aca="false">'Raw Data'!K66</f>
        <v>3332</v>
      </c>
      <c r="J60" s="33" t="n">
        <f aca="false">G60/F60</f>
        <v>0.674940496429786</v>
      </c>
      <c r="K60" s="34" t="n">
        <f aca="false">E60/F60</f>
        <v>0.0316218973138388</v>
      </c>
      <c r="L60" s="34" t="n">
        <f aca="false">E60/H60</f>
        <v>0.0140717203812982</v>
      </c>
      <c r="M60" s="35" t="n">
        <f aca="false">LN(H60)</f>
        <v>8.79618763547045</v>
      </c>
      <c r="N60" s="34" t="n">
        <f aca="false">(C60-'Raw Data'!D65)/'Raw Data'!D65</f>
        <v>-0.324533929903057</v>
      </c>
      <c r="O60" s="34" t="n">
        <f aca="false">I60/H60</f>
        <v>0.504160992585868</v>
      </c>
      <c r="P60" s="33" t="n">
        <f aca="false">'Raw Data'!L66</f>
        <v>3.58</v>
      </c>
      <c r="Q60" s="33" t="n">
        <f aca="false">'Raw Data'!M66/'Raw Data'!N66</f>
        <v>1.6319857312723</v>
      </c>
      <c r="R60" s="46" t="n">
        <f aca="false">IF(OR(B60="FY19-20",B60="FY20-21"),1,0)</f>
        <v>1</v>
      </c>
      <c r="S60" s="33" t="n">
        <f aca="false">J60</f>
        <v>0.674940496429786</v>
      </c>
      <c r="T60" s="35" t="n">
        <f aca="false">M60</f>
        <v>8.79618763547045</v>
      </c>
      <c r="U60" s="34" t="n">
        <f aca="false">N60</f>
        <v>-0.324533929903057</v>
      </c>
      <c r="V60" s="34" t="n">
        <f aca="false">O60</f>
        <v>0.504160992585868</v>
      </c>
      <c r="W60" s="46" t="n">
        <f aca="false">R60</f>
        <v>1</v>
      </c>
    </row>
    <row r="61" customFormat="false" ht="15" hidden="false" customHeight="true" outlineLevel="0" collapsed="false">
      <c r="A61" s="21" t="s">
        <v>66</v>
      </c>
      <c r="B61" s="21" t="s">
        <v>105</v>
      </c>
      <c r="C61" s="32" t="n">
        <f aca="false">'Raw Data'!D67</f>
        <v>7436</v>
      </c>
      <c r="D61" s="32" t="n">
        <f aca="false">'Raw Data'!E67</f>
        <v>790</v>
      </c>
      <c r="E61" s="32" t="n">
        <f aca="false">'Raw Data'!F67</f>
        <v>59</v>
      </c>
      <c r="F61" s="32" t="n">
        <f aca="false">'Raw Data'!G67+'Raw Data'!H67</f>
        <v>3012</v>
      </c>
      <c r="G61" s="32" t="n">
        <f aca="false">'Raw Data'!I67</f>
        <v>1783</v>
      </c>
      <c r="H61" s="32" t="n">
        <f aca="false">'Raw Data'!J67</f>
        <v>7413</v>
      </c>
      <c r="I61" s="32" t="n">
        <f aca="false">'Raw Data'!K67</f>
        <v>3268</v>
      </c>
      <c r="J61" s="33" t="n">
        <f aca="false">G61/F61</f>
        <v>0.591965471447543</v>
      </c>
      <c r="K61" s="34" t="n">
        <f aca="false">E61/F61</f>
        <v>0.0195883134130146</v>
      </c>
      <c r="L61" s="34" t="n">
        <f aca="false">E61/H61</f>
        <v>0.00795899096182382</v>
      </c>
      <c r="M61" s="35" t="n">
        <f aca="false">LN(H61)</f>
        <v>8.91099049465672</v>
      </c>
      <c r="N61" s="34" t="n">
        <f aca="false">(C61-'Raw Data'!D66)/'Raw Data'!D66</f>
        <v>0.641863546036653</v>
      </c>
      <c r="O61" s="34" t="n">
        <f aca="false">I61/H61</f>
        <v>0.440847160393903</v>
      </c>
      <c r="P61" s="33" t="n">
        <f aca="false">'Raw Data'!L67</f>
        <v>2.28</v>
      </c>
      <c r="Q61" s="33" t="n">
        <f aca="false">'Raw Data'!M67/'Raw Data'!N67</f>
        <v>1.41046200840015</v>
      </c>
      <c r="R61" s="46" t="n">
        <f aca="false">IF(OR(B61="FY19-20",B61="FY20-21"),1,0)</f>
        <v>0</v>
      </c>
      <c r="S61" s="33" t="n">
        <f aca="false">J61</f>
        <v>0.591965471447543</v>
      </c>
      <c r="T61" s="35" t="n">
        <f aca="false">M61</f>
        <v>8.91099049465672</v>
      </c>
      <c r="U61" s="34" t="n">
        <f aca="false">N61</f>
        <v>0.641863546036653</v>
      </c>
      <c r="V61" s="34" t="n">
        <f aca="false">O61</f>
        <v>0.440847160393903</v>
      </c>
      <c r="W61" s="46" t="n">
        <f aca="false">R61</f>
        <v>0</v>
      </c>
    </row>
    <row r="62" customFormat="false" ht="15" hidden="false" customHeight="true" outlineLevel="0" collapsed="false">
      <c r="A62" s="21" t="s">
        <v>66</v>
      </c>
      <c r="B62" s="21" t="s">
        <v>106</v>
      </c>
      <c r="C62" s="32" t="n">
        <f aca="false">'Raw Data'!D68</f>
        <v>7723</v>
      </c>
      <c r="D62" s="32" t="n">
        <f aca="false">'Raw Data'!E68</f>
        <v>720</v>
      </c>
      <c r="E62" s="32" t="n">
        <f aca="false">'Raw Data'!F68</f>
        <v>346</v>
      </c>
      <c r="F62" s="32" t="n">
        <f aca="false">'Raw Data'!G68+'Raw Data'!H68</f>
        <v>3297</v>
      </c>
      <c r="G62" s="32" t="n">
        <f aca="false">'Raw Data'!I68</f>
        <v>1420</v>
      </c>
      <c r="H62" s="32" t="n">
        <f aca="false">'Raw Data'!J68</f>
        <v>6398</v>
      </c>
      <c r="I62" s="32" t="n">
        <f aca="false">'Raw Data'!K68</f>
        <v>3255</v>
      </c>
      <c r="J62" s="33" t="n">
        <f aca="false">G62/F62</f>
        <v>0.430694570821959</v>
      </c>
      <c r="K62" s="34" t="n">
        <f aca="false">E62/F62</f>
        <v>0.104943888383379</v>
      </c>
      <c r="L62" s="34" t="n">
        <f aca="false">E62/H62</f>
        <v>0.0540793998124414</v>
      </c>
      <c r="M62" s="35" t="n">
        <f aca="false">LN(H62)</f>
        <v>8.76374072050946</v>
      </c>
      <c r="N62" s="34" t="n">
        <f aca="false">(C62-'Raw Data'!D67)/'Raw Data'!D67</f>
        <v>0.0385960193652501</v>
      </c>
      <c r="O62" s="34" t="n">
        <f aca="false">I62/H62</f>
        <v>0.508752735229759</v>
      </c>
      <c r="P62" s="33" t="n">
        <f aca="false">'Raw Data'!L68</f>
        <v>13.23</v>
      </c>
      <c r="Q62" s="33" t="n">
        <f aca="false">'Raw Data'!M68/'Raw Data'!N68</f>
        <v>1.639500297442</v>
      </c>
      <c r="R62" s="46" t="n">
        <f aca="false">IF(OR(B62="FY19-20",B62="FY20-21"),1,0)</f>
        <v>0</v>
      </c>
      <c r="S62" s="33" t="n">
        <f aca="false">J62</f>
        <v>0.430694570821959</v>
      </c>
      <c r="T62" s="35" t="n">
        <f aca="false">M62</f>
        <v>8.76374072050946</v>
      </c>
      <c r="U62" s="34" t="n">
        <f aca="false">N62</f>
        <v>0.0385960193652501</v>
      </c>
      <c r="V62" s="34" t="n">
        <f aca="false">O62</f>
        <v>0.508752735229759</v>
      </c>
      <c r="W62" s="46" t="n">
        <f aca="false">R62</f>
        <v>0</v>
      </c>
    </row>
    <row r="63" customFormat="false" ht="15" hidden="false" customHeight="true" outlineLevel="0" collapsed="false">
      <c r="A63" s="21" t="s">
        <v>66</v>
      </c>
      <c r="B63" s="21" t="s">
        <v>107</v>
      </c>
      <c r="C63" s="32" t="n">
        <f aca="false">'Raw Data'!D69</f>
        <v>7100</v>
      </c>
      <c r="D63" s="32" t="n">
        <f aca="false">'Raw Data'!E69</f>
        <v>767</v>
      </c>
      <c r="E63" s="32" t="n">
        <f aca="false">'Raw Data'!F69</f>
        <v>305</v>
      </c>
      <c r="F63" s="32" t="n">
        <f aca="false">'Raw Data'!G69+'Raw Data'!H69</f>
        <v>3477</v>
      </c>
      <c r="G63" s="32" t="n">
        <f aca="false">'Raw Data'!I69</f>
        <v>1320</v>
      </c>
      <c r="H63" s="32" t="n">
        <f aca="false">'Raw Data'!J69</f>
        <v>6729</v>
      </c>
      <c r="I63" s="32" t="n">
        <f aca="false">'Raw Data'!K69</f>
        <v>3288</v>
      </c>
      <c r="J63" s="33" t="n">
        <f aca="false">G63/F63</f>
        <v>0.379637618636756</v>
      </c>
      <c r="K63" s="34" t="n">
        <f aca="false">E63/F63</f>
        <v>0.087719298245614</v>
      </c>
      <c r="L63" s="34" t="n">
        <f aca="false">E63/H63</f>
        <v>0.0453262000297221</v>
      </c>
      <c r="M63" s="35" t="n">
        <f aca="false">LN(H63)</f>
        <v>8.81418182318832</v>
      </c>
      <c r="N63" s="34" t="n">
        <f aca="false">(C63-'Raw Data'!D68)/'Raw Data'!D68</f>
        <v>-0.0806681341447624</v>
      </c>
      <c r="O63" s="34" t="n">
        <f aca="false">I63/H63</f>
        <v>0.488631297369594</v>
      </c>
      <c r="P63" s="33" t="n">
        <f aca="false">'Raw Data'!L69</f>
        <v>11.65</v>
      </c>
      <c r="Q63" s="33" t="n">
        <f aca="false">'Raw Data'!M69/'Raw Data'!N69</f>
        <v>1.60351966873706</v>
      </c>
      <c r="R63" s="46" t="n">
        <f aca="false">IF(OR(B63="FY19-20",B63="FY20-21"),1,0)</f>
        <v>0</v>
      </c>
      <c r="S63" s="33" t="n">
        <f aca="false">J63</f>
        <v>0.379637618636756</v>
      </c>
      <c r="T63" s="35" t="n">
        <f aca="false">M63</f>
        <v>8.81418182318832</v>
      </c>
      <c r="U63" s="34" t="n">
        <f aca="false">N63</f>
        <v>-0.0806681341447624</v>
      </c>
      <c r="V63" s="34" t="n">
        <f aca="false">O63</f>
        <v>0.488631297369594</v>
      </c>
      <c r="W63" s="46" t="n">
        <f aca="false">R63</f>
        <v>0</v>
      </c>
    </row>
    <row r="64" customFormat="false" ht="15" hidden="false" customHeight="true" outlineLevel="0" collapsed="false">
      <c r="A64" s="21" t="s">
        <v>66</v>
      </c>
      <c r="B64" s="21" t="s">
        <v>108</v>
      </c>
      <c r="C64" s="32" t="n">
        <f aca="false">'Raw Data'!D70</f>
        <v>6236</v>
      </c>
      <c r="D64" s="32" t="n">
        <f aca="false">'Raw Data'!E70</f>
        <v>581</v>
      </c>
      <c r="E64" s="32" t="n">
        <f aca="false">'Raw Data'!F70</f>
        <v>240</v>
      </c>
      <c r="F64" s="32" t="n">
        <f aca="false">'Raw Data'!G70+'Raw Data'!H70</f>
        <v>3587</v>
      </c>
      <c r="G64" s="32" t="n">
        <f aca="false">'Raw Data'!I70</f>
        <v>1496</v>
      </c>
      <c r="H64" s="32" t="n">
        <f aca="false">'Raw Data'!J70</f>
        <v>7324</v>
      </c>
      <c r="I64" s="32" t="n">
        <f aca="false">'Raw Data'!K70</f>
        <v>3504</v>
      </c>
      <c r="J64" s="33" t="n">
        <f aca="false">G64/F64</f>
        <v>0.417061611374408</v>
      </c>
      <c r="K64" s="34" t="n">
        <f aca="false">E64/F64</f>
        <v>0.0669082798996376</v>
      </c>
      <c r="L64" s="34" t="n">
        <f aca="false">E64/H64</f>
        <v>0.0327689787001639</v>
      </c>
      <c r="M64" s="35" t="n">
        <f aca="false">LN(H64)</f>
        <v>8.8989119057944</v>
      </c>
      <c r="N64" s="34" t="n">
        <f aca="false">(C64-'Raw Data'!D69)/'Raw Data'!D69</f>
        <v>-0.12169014084507</v>
      </c>
      <c r="O64" s="34" t="n">
        <f aca="false">I64/H64</f>
        <v>0.478427089022392</v>
      </c>
      <c r="P64" s="33" t="n">
        <f aca="false">'Raw Data'!L70</f>
        <v>9.18</v>
      </c>
      <c r="Q64" s="33" t="n">
        <f aca="false">'Raw Data'!M70/'Raw Data'!N70</f>
        <v>1.50468540829987</v>
      </c>
      <c r="R64" s="46" t="n">
        <f aca="false">IF(OR(B64="FY19-20",B64="FY20-21"),1,0)</f>
        <v>0</v>
      </c>
      <c r="S64" s="33" t="n">
        <f aca="false">J64</f>
        <v>0.417061611374408</v>
      </c>
      <c r="T64" s="35" t="n">
        <f aca="false">M64</f>
        <v>8.8989119057944</v>
      </c>
      <c r="U64" s="34" t="n">
        <f aca="false">N64</f>
        <v>-0.12169014084507</v>
      </c>
      <c r="V64" s="34" t="n">
        <f aca="false">O64</f>
        <v>0.478427089022392</v>
      </c>
      <c r="W64" s="46" t="n">
        <f aca="false">R64</f>
        <v>0</v>
      </c>
    </row>
    <row r="65" customFormat="false" ht="15" hidden="false" customHeight="true" outlineLevel="0" collapsed="false">
      <c r="A65" s="18" t="s">
        <v>67</v>
      </c>
      <c r="B65" s="18" t="s">
        <v>99</v>
      </c>
      <c r="C65" s="28" t="n">
        <f aca="false">'Raw Data'!D72</f>
        <v>766</v>
      </c>
      <c r="D65" s="28" t="n">
        <f aca="false">'Raw Data'!E72</f>
        <v>137</v>
      </c>
      <c r="E65" s="28" t="n">
        <f aca="false">'Raw Data'!F72</f>
        <v>44</v>
      </c>
      <c r="F65" s="28" t="n">
        <f aca="false">'Raw Data'!G72+'Raw Data'!H72</f>
        <v>206</v>
      </c>
      <c r="G65" s="28" t="n">
        <f aca="false">'Raw Data'!I72</f>
        <v>352</v>
      </c>
      <c r="H65" s="28" t="n">
        <f aca="false">'Raw Data'!J72</f>
        <v>635</v>
      </c>
      <c r="I65" s="28" t="n">
        <f aca="false">'Raw Data'!K72</f>
        <v>399</v>
      </c>
      <c r="J65" s="29" t="n">
        <f aca="false">G65/F65</f>
        <v>1.70873786407767</v>
      </c>
      <c r="K65" s="30" t="n">
        <f aca="false">E65/F65</f>
        <v>0.213592233009709</v>
      </c>
      <c r="L65" s="30" t="n">
        <f aca="false">E65/H65</f>
        <v>0.0692913385826772</v>
      </c>
      <c r="M65" s="31" t="n">
        <f aca="false">LN(H65)</f>
        <v>6.45362499889269</v>
      </c>
      <c r="N65" s="30" t="n">
        <f aca="false">(C65-'Raw Data'!D71)/'Raw Data'!D71</f>
        <v>0.243506493506494</v>
      </c>
      <c r="O65" s="30" t="n">
        <f aca="false">I65/H65</f>
        <v>0.628346456692913</v>
      </c>
      <c r="P65" s="29" t="n">
        <f aca="false">'Raw Data'!L72</f>
        <v>9.63</v>
      </c>
      <c r="Q65" s="29" t="n">
        <f aca="false">'Raw Data'!M72/'Raw Data'!N72</f>
        <v>3.06493506493507</v>
      </c>
      <c r="R65" s="45" t="n">
        <f aca="false">IF(OR(B65="FY19-20",B65="FY20-21"),1,0)</f>
        <v>0</v>
      </c>
      <c r="S65" s="29" t="n">
        <f aca="false">J65</f>
        <v>1.70873786407767</v>
      </c>
      <c r="T65" s="31" t="n">
        <f aca="false">M65</f>
        <v>6.45362499889269</v>
      </c>
      <c r="U65" s="30" t="n">
        <f aca="false">N65</f>
        <v>0.243506493506494</v>
      </c>
      <c r="V65" s="30" t="n">
        <f aca="false">O65</f>
        <v>0.628346456692913</v>
      </c>
      <c r="W65" s="45" t="n">
        <f aca="false">R65</f>
        <v>0</v>
      </c>
    </row>
    <row r="66" customFormat="false" ht="15" hidden="false" customHeight="true" outlineLevel="0" collapsed="false">
      <c r="A66" s="18" t="s">
        <v>67</v>
      </c>
      <c r="B66" s="18" t="s">
        <v>100</v>
      </c>
      <c r="C66" s="28" t="n">
        <f aca="false">'Raw Data'!D73</f>
        <v>933</v>
      </c>
      <c r="D66" s="28" t="n">
        <f aca="false">'Raw Data'!E73</f>
        <v>133</v>
      </c>
      <c r="E66" s="28" t="n">
        <f aca="false">'Raw Data'!F73</f>
        <v>57</v>
      </c>
      <c r="F66" s="28" t="n">
        <f aca="false">'Raw Data'!G73+'Raw Data'!H73</f>
        <v>264</v>
      </c>
      <c r="G66" s="28" t="n">
        <f aca="false">'Raw Data'!I73</f>
        <v>568</v>
      </c>
      <c r="H66" s="28" t="n">
        <f aca="false">'Raw Data'!J73</f>
        <v>885</v>
      </c>
      <c r="I66" s="28" t="n">
        <f aca="false">'Raw Data'!K73</f>
        <v>613</v>
      </c>
      <c r="J66" s="29" t="n">
        <f aca="false">G66/F66</f>
        <v>2.15151515151515</v>
      </c>
      <c r="K66" s="30" t="n">
        <f aca="false">E66/F66</f>
        <v>0.215909090909091</v>
      </c>
      <c r="L66" s="30" t="n">
        <f aca="false">E66/H66</f>
        <v>0.064406779661017</v>
      </c>
      <c r="M66" s="31" t="n">
        <f aca="false">LN(H66)</f>
        <v>6.78558764500793</v>
      </c>
      <c r="N66" s="30" t="n">
        <f aca="false">(C66-'Raw Data'!D72)/'Raw Data'!D72</f>
        <v>0.218015665796345</v>
      </c>
      <c r="O66" s="30" t="n">
        <f aca="false">I66/H66</f>
        <v>0.692655367231639</v>
      </c>
      <c r="P66" s="29" t="n">
        <f aca="false">'Raw Data'!L73</f>
        <v>12.51</v>
      </c>
      <c r="Q66" s="29" t="n">
        <f aca="false">'Raw Data'!M73/'Raw Data'!N73</f>
        <v>5.13207547169811</v>
      </c>
      <c r="R66" s="45" t="n">
        <f aca="false">IF(OR(B66="FY19-20",B66="FY20-21"),1,0)</f>
        <v>0</v>
      </c>
      <c r="S66" s="29" t="n">
        <f aca="false">J66</f>
        <v>2.15151515151515</v>
      </c>
      <c r="T66" s="31" t="n">
        <f aca="false">M66</f>
        <v>6.78558764500793</v>
      </c>
      <c r="U66" s="30" t="n">
        <f aca="false">N66</f>
        <v>0.218015665796345</v>
      </c>
      <c r="V66" s="30" t="n">
        <f aca="false">O66</f>
        <v>0.692655367231639</v>
      </c>
      <c r="W66" s="45" t="n">
        <f aca="false">R66</f>
        <v>0</v>
      </c>
    </row>
    <row r="67" customFormat="false" ht="15" hidden="false" customHeight="true" outlineLevel="0" collapsed="false">
      <c r="A67" s="18" t="s">
        <v>67</v>
      </c>
      <c r="B67" s="18" t="s">
        <v>101</v>
      </c>
      <c r="C67" s="28" t="n">
        <f aca="false">'Raw Data'!D74</f>
        <v>1145</v>
      </c>
      <c r="D67" s="28" t="n">
        <f aca="false">'Raw Data'!E74</f>
        <v>155</v>
      </c>
      <c r="E67" s="28" t="n">
        <f aca="false">'Raw Data'!F74</f>
        <v>52</v>
      </c>
      <c r="F67" s="28" t="n">
        <f aca="false">'Raw Data'!G74+'Raw Data'!H74</f>
        <v>417</v>
      </c>
      <c r="G67" s="28" t="n">
        <f aca="false">'Raw Data'!I74</f>
        <v>449</v>
      </c>
      <c r="H67" s="28" t="n">
        <f aca="false">'Raw Data'!J74</f>
        <v>929</v>
      </c>
      <c r="I67" s="28" t="n">
        <f aca="false">'Raw Data'!K74</f>
        <v>574</v>
      </c>
      <c r="J67" s="29" t="n">
        <f aca="false">G67/F67</f>
        <v>1.07673860911271</v>
      </c>
      <c r="K67" s="30" t="n">
        <f aca="false">E67/F67</f>
        <v>0.124700239808153</v>
      </c>
      <c r="L67" s="30" t="n">
        <f aca="false">E67/H67</f>
        <v>0.0559741657696448</v>
      </c>
      <c r="M67" s="31" t="n">
        <f aca="false">LN(H67)</f>
        <v>6.83410873881384</v>
      </c>
      <c r="N67" s="30" t="n">
        <f aca="false">(C67-'Raw Data'!D73)/'Raw Data'!D73</f>
        <v>0.227224008574491</v>
      </c>
      <c r="O67" s="30" t="n">
        <f aca="false">I67/H67</f>
        <v>0.617868675995694</v>
      </c>
      <c r="P67" s="29" t="n">
        <f aca="false">'Raw Data'!L74</f>
        <v>9.43</v>
      </c>
      <c r="Q67" s="29" t="n">
        <f aca="false">'Raw Data'!M74/'Raw Data'!N74</f>
        <v>5.63492063492064</v>
      </c>
      <c r="R67" s="45" t="n">
        <f aca="false">IF(OR(B67="FY19-20",B67="FY20-21"),1,0)</f>
        <v>0</v>
      </c>
      <c r="S67" s="29" t="n">
        <f aca="false">J67</f>
        <v>1.07673860911271</v>
      </c>
      <c r="T67" s="31" t="n">
        <f aca="false">M67</f>
        <v>6.83410873881384</v>
      </c>
      <c r="U67" s="30" t="n">
        <f aca="false">N67</f>
        <v>0.227224008574491</v>
      </c>
      <c r="V67" s="30" t="n">
        <f aca="false">O67</f>
        <v>0.617868675995694</v>
      </c>
      <c r="W67" s="45" t="n">
        <f aca="false">R67</f>
        <v>0</v>
      </c>
    </row>
    <row r="68" customFormat="false" ht="15" hidden="false" customHeight="true" outlineLevel="0" collapsed="false">
      <c r="A68" s="18" t="s">
        <v>67</v>
      </c>
      <c r="B68" s="18" t="s">
        <v>102</v>
      </c>
      <c r="C68" s="28" t="n">
        <f aca="false">'Raw Data'!D75</f>
        <v>1241</v>
      </c>
      <c r="D68" s="28" t="n">
        <f aca="false">'Raw Data'!E75</f>
        <v>178</v>
      </c>
      <c r="E68" s="28" t="n">
        <f aca="false">'Raw Data'!F75</f>
        <v>64</v>
      </c>
      <c r="F68" s="28" t="n">
        <f aca="false">'Raw Data'!G75+'Raw Data'!H75</f>
        <v>482</v>
      </c>
      <c r="G68" s="28" t="n">
        <f aca="false">'Raw Data'!I75</f>
        <v>860</v>
      </c>
      <c r="H68" s="28" t="n">
        <f aca="false">'Raw Data'!J75</f>
        <v>1436</v>
      </c>
      <c r="I68" s="28" t="n">
        <f aca="false">'Raw Data'!K75</f>
        <v>992</v>
      </c>
      <c r="J68" s="29" t="n">
        <f aca="false">G68/F68</f>
        <v>1.78423236514523</v>
      </c>
      <c r="K68" s="30" t="n">
        <f aca="false">E68/F68</f>
        <v>0.132780082987552</v>
      </c>
      <c r="L68" s="30" t="n">
        <f aca="false">E68/H68</f>
        <v>0.0445682451253482</v>
      </c>
      <c r="M68" s="31" t="n">
        <f aca="false">LN(H68)</f>
        <v>7.26961674960817</v>
      </c>
      <c r="N68" s="30" t="n">
        <f aca="false">(C68-'Raw Data'!D74)/'Raw Data'!D74</f>
        <v>0.0838427947598253</v>
      </c>
      <c r="O68" s="30" t="n">
        <f aca="false">I68/H68</f>
        <v>0.690807799442897</v>
      </c>
      <c r="P68" s="29" t="n">
        <f aca="false">'Raw Data'!L75</f>
        <v>11.4</v>
      </c>
      <c r="Q68" s="29" t="n">
        <f aca="false">'Raw Data'!M75/'Raw Data'!N75</f>
        <v>4.78494623655914</v>
      </c>
      <c r="R68" s="45" t="n">
        <f aca="false">IF(OR(B68="FY19-20",B68="FY20-21"),1,0)</f>
        <v>0</v>
      </c>
      <c r="S68" s="29" t="n">
        <f aca="false">J68</f>
        <v>1.78423236514523</v>
      </c>
      <c r="T68" s="31" t="n">
        <f aca="false">M68</f>
        <v>7.26961674960817</v>
      </c>
      <c r="U68" s="30" t="n">
        <f aca="false">N68</f>
        <v>0.0838427947598253</v>
      </c>
      <c r="V68" s="30" t="n">
        <f aca="false">O68</f>
        <v>0.690807799442897</v>
      </c>
      <c r="W68" s="45" t="n">
        <f aca="false">R68</f>
        <v>0</v>
      </c>
    </row>
    <row r="69" customFormat="false" ht="15" hidden="false" customHeight="true" outlineLevel="0" collapsed="false">
      <c r="A69" s="18" t="s">
        <v>67</v>
      </c>
      <c r="B69" s="18" t="s">
        <v>103</v>
      </c>
      <c r="C69" s="28" t="n">
        <f aca="false">'Raw Data'!D76</f>
        <v>1436</v>
      </c>
      <c r="D69" s="28" t="n">
        <f aca="false">'Raw Data'!E76</f>
        <v>170</v>
      </c>
      <c r="E69" s="28" t="n">
        <f aca="false">'Raw Data'!F76</f>
        <v>24</v>
      </c>
      <c r="F69" s="28" t="n">
        <f aca="false">'Raw Data'!G76+'Raw Data'!H76</f>
        <v>494</v>
      </c>
      <c r="G69" s="28" t="n">
        <f aca="false">'Raw Data'!I76</f>
        <v>1040</v>
      </c>
      <c r="H69" s="28" t="n">
        <f aca="false">'Raw Data'!J76</f>
        <v>1645</v>
      </c>
      <c r="I69" s="28" t="n">
        <f aca="false">'Raw Data'!K76</f>
        <v>1140</v>
      </c>
      <c r="J69" s="29" t="n">
        <f aca="false">G69/F69</f>
        <v>2.10526315789474</v>
      </c>
      <c r="K69" s="30" t="n">
        <f aca="false">E69/F69</f>
        <v>0.048582995951417</v>
      </c>
      <c r="L69" s="30" t="n">
        <f aca="false">E69/H69</f>
        <v>0.0145896656534954</v>
      </c>
      <c r="M69" s="31" t="n">
        <f aca="false">LN(H69)</f>
        <v>7.40549566319947</v>
      </c>
      <c r="N69" s="30" t="n">
        <f aca="false">(C69-'Raw Data'!D75)/'Raw Data'!D75</f>
        <v>0.157131345688961</v>
      </c>
      <c r="O69" s="30" t="n">
        <f aca="false">I69/H69</f>
        <v>0.693009118541033</v>
      </c>
      <c r="P69" s="29" t="n">
        <f aca="false">'Raw Data'!L76</f>
        <v>4.24</v>
      </c>
      <c r="Q69" s="29" t="n">
        <f aca="false">'Raw Data'!M76/'Raw Data'!N76</f>
        <v>4.55855855855856</v>
      </c>
      <c r="R69" s="45" t="n">
        <f aca="false">IF(OR(B69="FY19-20",B69="FY20-21"),1,0)</f>
        <v>1</v>
      </c>
      <c r="S69" s="29" t="n">
        <f aca="false">J69</f>
        <v>2.10526315789474</v>
      </c>
      <c r="T69" s="31" t="n">
        <f aca="false">M69</f>
        <v>7.40549566319947</v>
      </c>
      <c r="U69" s="30" t="n">
        <f aca="false">N69</f>
        <v>0.157131345688961</v>
      </c>
      <c r="V69" s="30" t="n">
        <f aca="false">O69</f>
        <v>0.693009118541033</v>
      </c>
      <c r="W69" s="45" t="n">
        <f aca="false">R69</f>
        <v>1</v>
      </c>
    </row>
    <row r="70" customFormat="false" ht="15" hidden="false" customHeight="true" outlineLevel="0" collapsed="false">
      <c r="A70" s="18" t="s">
        <v>67</v>
      </c>
      <c r="B70" s="18" t="s">
        <v>104</v>
      </c>
      <c r="C70" s="28" t="n">
        <f aca="false">'Raw Data'!D77</f>
        <v>1622</v>
      </c>
      <c r="D70" s="28" t="n">
        <f aca="false">'Raw Data'!E77</f>
        <v>257</v>
      </c>
      <c r="E70" s="28" t="n">
        <f aca="false">'Raw Data'!F77</f>
        <v>69</v>
      </c>
      <c r="F70" s="28" t="n">
        <f aca="false">'Raw Data'!G77+'Raw Data'!H77</f>
        <v>563</v>
      </c>
      <c r="G70" s="28" t="n">
        <f aca="false">'Raw Data'!I77</f>
        <v>962</v>
      </c>
      <c r="H70" s="28" t="n">
        <f aca="false">'Raw Data'!J77</f>
        <v>1676</v>
      </c>
      <c r="I70" s="28" t="n">
        <f aca="false">'Raw Data'!K77</f>
        <v>1062</v>
      </c>
      <c r="J70" s="29" t="n">
        <f aca="false">G70/F70</f>
        <v>1.70870337477798</v>
      </c>
      <c r="K70" s="30" t="n">
        <f aca="false">E70/F70</f>
        <v>0.122557726465364</v>
      </c>
      <c r="L70" s="30" t="n">
        <f aca="false">E70/H70</f>
        <v>0.0411694510739857</v>
      </c>
      <c r="M70" s="31" t="n">
        <f aca="false">LN(H70)</f>
        <v>7.42416528104203</v>
      </c>
      <c r="N70" s="30" t="n">
        <f aca="false">(C70-'Raw Data'!D76)/'Raw Data'!D76</f>
        <v>0.129526462395543</v>
      </c>
      <c r="O70" s="30" t="n">
        <f aca="false">I70/H70</f>
        <v>0.633651551312649</v>
      </c>
      <c r="P70" s="29" t="n">
        <f aca="false">'Raw Data'!L77</f>
        <v>12.25</v>
      </c>
      <c r="Q70" s="29" t="n">
        <f aca="false">'Raw Data'!M77/'Raw Data'!N77</f>
        <v>4.07284768211921</v>
      </c>
      <c r="R70" s="45" t="n">
        <f aca="false">IF(OR(B70="FY19-20",B70="FY20-21"),1,0)</f>
        <v>1</v>
      </c>
      <c r="S70" s="29" t="n">
        <f aca="false">J70</f>
        <v>1.70870337477798</v>
      </c>
      <c r="T70" s="31" t="n">
        <f aca="false">M70</f>
        <v>7.42416528104203</v>
      </c>
      <c r="U70" s="30" t="n">
        <f aca="false">N70</f>
        <v>0.129526462395543</v>
      </c>
      <c r="V70" s="30" t="n">
        <f aca="false">O70</f>
        <v>0.633651551312649</v>
      </c>
      <c r="W70" s="45" t="n">
        <f aca="false">R70</f>
        <v>1</v>
      </c>
    </row>
    <row r="71" customFormat="false" ht="15" hidden="false" customHeight="true" outlineLevel="0" collapsed="false">
      <c r="A71" s="18" t="s">
        <v>67</v>
      </c>
      <c r="B71" s="18" t="s">
        <v>105</v>
      </c>
      <c r="C71" s="28" t="n">
        <f aca="false">'Raw Data'!D78</f>
        <v>2690</v>
      </c>
      <c r="D71" s="28" t="n">
        <f aca="false">'Raw Data'!E78</f>
        <v>652</v>
      </c>
      <c r="E71" s="28" t="n">
        <f aca="false">'Raw Data'!F78</f>
        <v>326</v>
      </c>
      <c r="F71" s="28" t="n">
        <f aca="false">'Raw Data'!G78+'Raw Data'!H78</f>
        <v>876</v>
      </c>
      <c r="G71" s="28" t="n">
        <f aca="false">'Raw Data'!I78</f>
        <v>689</v>
      </c>
      <c r="H71" s="28" t="n">
        <f aca="false">'Raw Data'!J78</f>
        <v>1824</v>
      </c>
      <c r="I71" s="28" t="n">
        <f aca="false">'Raw Data'!K78</f>
        <v>1012</v>
      </c>
      <c r="J71" s="29" t="n">
        <f aca="false">G71/F71</f>
        <v>0.786529680365297</v>
      </c>
      <c r="K71" s="30" t="n">
        <f aca="false">E71/F71</f>
        <v>0.372146118721461</v>
      </c>
      <c r="L71" s="30" t="n">
        <f aca="false">E71/H71</f>
        <v>0.178728070175439</v>
      </c>
      <c r="M71" s="31" t="n">
        <f aca="false">LN(H71)</f>
        <v>7.50878717063428</v>
      </c>
      <c r="N71" s="30" t="n">
        <f aca="false">(C71-'Raw Data'!D77)/'Raw Data'!D77</f>
        <v>0.658446362515413</v>
      </c>
      <c r="O71" s="30" t="n">
        <f aca="false">I71/H71</f>
        <v>0.554824561403509</v>
      </c>
      <c r="P71" s="29" t="n">
        <f aca="false">'Raw Data'!L78</f>
        <v>58.01</v>
      </c>
      <c r="Q71" s="29" t="n">
        <f aca="false">'Raw Data'!M78/'Raw Data'!N78</f>
        <v>3.12307692307692</v>
      </c>
      <c r="R71" s="45" t="n">
        <f aca="false">IF(OR(B71="FY19-20",B71="FY20-21"),1,0)</f>
        <v>0</v>
      </c>
      <c r="S71" s="29" t="n">
        <f aca="false">J71</f>
        <v>0.786529680365297</v>
      </c>
      <c r="T71" s="31" t="n">
        <f aca="false">M71</f>
        <v>7.50878717063428</v>
      </c>
      <c r="U71" s="30" t="n">
        <f aca="false">N71</f>
        <v>0.658446362515413</v>
      </c>
      <c r="V71" s="30" t="n">
        <f aca="false">O71</f>
        <v>0.554824561403509</v>
      </c>
      <c r="W71" s="45" t="n">
        <f aca="false">R71</f>
        <v>0</v>
      </c>
    </row>
    <row r="72" customFormat="false" ht="15" hidden="false" customHeight="true" outlineLevel="0" collapsed="false">
      <c r="A72" s="18" t="s">
        <v>67</v>
      </c>
      <c r="B72" s="18" t="s">
        <v>106</v>
      </c>
      <c r="C72" s="28" t="n">
        <f aca="false">'Raw Data'!D79</f>
        <v>2404</v>
      </c>
      <c r="D72" s="28" t="n">
        <f aca="false">'Raw Data'!E79</f>
        <v>297</v>
      </c>
      <c r="E72" s="28" t="n">
        <f aca="false">'Raw Data'!F79</f>
        <v>165</v>
      </c>
      <c r="F72" s="28" t="n">
        <f aca="false">'Raw Data'!G79+'Raw Data'!H79</f>
        <v>1029</v>
      </c>
      <c r="G72" s="28" t="n">
        <f aca="false">'Raw Data'!I79</f>
        <v>980</v>
      </c>
      <c r="H72" s="28" t="n">
        <f aca="false">'Raw Data'!J79</f>
        <v>2218</v>
      </c>
      <c r="I72" s="28" t="n">
        <f aca="false">'Raw Data'!K79</f>
        <v>1351</v>
      </c>
      <c r="J72" s="29" t="n">
        <f aca="false">G72/F72</f>
        <v>0.952380952380952</v>
      </c>
      <c r="K72" s="30" t="n">
        <f aca="false">E72/F72</f>
        <v>0.160349854227405</v>
      </c>
      <c r="L72" s="30" t="n">
        <f aca="false">E72/H72</f>
        <v>0.0743913435527502</v>
      </c>
      <c r="M72" s="31" t="n">
        <f aca="false">LN(H72)</f>
        <v>7.70436116791031</v>
      </c>
      <c r="N72" s="30" t="n">
        <f aca="false">(C72-'Raw Data'!D78)/'Raw Data'!D78</f>
        <v>-0.10631970260223</v>
      </c>
      <c r="O72" s="30" t="n">
        <f aca="false">I72/H72</f>
        <v>0.609107303877367</v>
      </c>
      <c r="P72" s="29" t="n">
        <f aca="false">'Raw Data'!L79</f>
        <v>29.32</v>
      </c>
      <c r="Q72" s="29" t="n">
        <f aca="false">'Raw Data'!M79/'Raw Data'!N79</f>
        <v>4.14832535885167</v>
      </c>
      <c r="R72" s="45" t="n">
        <f aca="false">IF(OR(B72="FY19-20",B72="FY20-21"),1,0)</f>
        <v>0</v>
      </c>
      <c r="S72" s="29" t="n">
        <f aca="false">J72</f>
        <v>0.952380952380952</v>
      </c>
      <c r="T72" s="31" t="n">
        <f aca="false">M72</f>
        <v>7.70436116791031</v>
      </c>
      <c r="U72" s="30" t="n">
        <f aca="false">N72</f>
        <v>-0.10631970260223</v>
      </c>
      <c r="V72" s="30" t="n">
        <f aca="false">O72</f>
        <v>0.609107303877367</v>
      </c>
      <c r="W72" s="45" t="n">
        <f aca="false">R72</f>
        <v>0</v>
      </c>
    </row>
    <row r="73" customFormat="false" ht="15" hidden="false" customHeight="true" outlineLevel="0" collapsed="false">
      <c r="A73" s="18" t="s">
        <v>67</v>
      </c>
      <c r="B73" s="18" t="s">
        <v>107</v>
      </c>
      <c r="C73" s="28" t="n">
        <f aca="false">'Raw Data'!D80</f>
        <v>2902</v>
      </c>
      <c r="D73" s="28" t="n">
        <f aca="false">'Raw Data'!E80</f>
        <v>377</v>
      </c>
      <c r="E73" s="28" t="n">
        <f aca="false">'Raw Data'!F80</f>
        <v>132</v>
      </c>
      <c r="F73" s="28" t="n">
        <f aca="false">'Raw Data'!G80+'Raw Data'!H80</f>
        <v>1146</v>
      </c>
      <c r="G73" s="28" t="n">
        <f aca="false">'Raw Data'!I80</f>
        <v>1339</v>
      </c>
      <c r="H73" s="28" t="n">
        <f aca="false">'Raw Data'!J80</f>
        <v>2717</v>
      </c>
      <c r="I73" s="28" t="n">
        <f aca="false">'Raw Data'!K80</f>
        <v>1711</v>
      </c>
      <c r="J73" s="29" t="n">
        <f aca="false">G73/F73</f>
        <v>1.16841186736475</v>
      </c>
      <c r="K73" s="30" t="n">
        <f aca="false">E73/F73</f>
        <v>0.115183246073298</v>
      </c>
      <c r="L73" s="30" t="n">
        <f aca="false">E73/H73</f>
        <v>0.048582995951417</v>
      </c>
      <c r="M73" s="31" t="n">
        <f aca="false">LN(H73)</f>
        <v>7.90728360942635</v>
      </c>
      <c r="N73" s="30" t="n">
        <f aca="false">(C73-'Raw Data'!D79)/'Raw Data'!D79</f>
        <v>0.207154742096506</v>
      </c>
      <c r="O73" s="30" t="n">
        <f aca="false">I73/H73</f>
        <v>0.629738682370261</v>
      </c>
      <c r="P73" s="29" t="n">
        <f aca="false">'Raw Data'!L80</f>
        <v>23.39</v>
      </c>
      <c r="Q73" s="29" t="n">
        <f aca="false">'Raw Data'!M80/'Raw Data'!N80</f>
        <v>4.35064935064935</v>
      </c>
      <c r="R73" s="45" t="n">
        <f aca="false">IF(OR(B73="FY19-20",B73="FY20-21"),1,0)</f>
        <v>0</v>
      </c>
      <c r="S73" s="29" t="n">
        <f aca="false">J73</f>
        <v>1.16841186736475</v>
      </c>
      <c r="T73" s="31" t="n">
        <f aca="false">M73</f>
        <v>7.90728360942635</v>
      </c>
      <c r="U73" s="30" t="n">
        <f aca="false">N73</f>
        <v>0.207154742096506</v>
      </c>
      <c r="V73" s="30" t="n">
        <f aca="false">O73</f>
        <v>0.629738682370261</v>
      </c>
      <c r="W73" s="45" t="n">
        <f aca="false">R73</f>
        <v>0</v>
      </c>
    </row>
    <row r="74" customFormat="false" ht="15" hidden="false" customHeight="true" outlineLevel="0" collapsed="false">
      <c r="A74" s="18" t="s">
        <v>67</v>
      </c>
      <c r="B74" s="18" t="s">
        <v>108</v>
      </c>
      <c r="C74" s="28" t="n">
        <f aca="false">'Raw Data'!D81</f>
        <v>3300</v>
      </c>
      <c r="D74" s="28" t="n">
        <f aca="false">'Raw Data'!E81</f>
        <v>471</v>
      </c>
      <c r="E74" s="28" t="n">
        <f aca="false">'Raw Data'!F81</f>
        <v>175</v>
      </c>
      <c r="F74" s="28" t="n">
        <f aca="false">'Raw Data'!G81+'Raw Data'!H81</f>
        <v>1311</v>
      </c>
      <c r="G74" s="28" t="n">
        <f aca="false">'Raw Data'!I81</f>
        <v>1165</v>
      </c>
      <c r="H74" s="28" t="n">
        <f aca="false">'Raw Data'!J81</f>
        <v>2732</v>
      </c>
      <c r="I74" s="28" t="n">
        <f aca="false">'Raw Data'!K81</f>
        <v>1584</v>
      </c>
      <c r="J74" s="29" t="n">
        <f aca="false">G74/F74</f>
        <v>0.888634630053394</v>
      </c>
      <c r="K74" s="30" t="n">
        <f aca="false">E74/F74</f>
        <v>0.13348588863463</v>
      </c>
      <c r="L74" s="30" t="n">
        <f aca="false">E74/H74</f>
        <v>0.0640556368960469</v>
      </c>
      <c r="M74" s="31" t="n">
        <f aca="false">LN(H74)</f>
        <v>7.91278922069068</v>
      </c>
      <c r="N74" s="30" t="n">
        <f aca="false">(C74-'Raw Data'!D80)/'Raw Data'!D80</f>
        <v>0.137146795313577</v>
      </c>
      <c r="O74" s="30" t="n">
        <f aca="false">I74/H74</f>
        <v>0.579795021961933</v>
      </c>
      <c r="P74" s="29" t="n">
        <f aca="false">'Raw Data'!L81</f>
        <v>31.2</v>
      </c>
      <c r="Q74" s="29" t="n">
        <f aca="false">'Raw Data'!M81/'Raw Data'!N81</f>
        <v>4.484375</v>
      </c>
      <c r="R74" s="45" t="n">
        <f aca="false">IF(OR(B74="FY19-20",B74="FY20-21"),1,0)</f>
        <v>0</v>
      </c>
      <c r="S74" s="29" t="n">
        <f aca="false">J74</f>
        <v>0.888634630053394</v>
      </c>
      <c r="T74" s="31" t="n">
        <f aca="false">M74</f>
        <v>7.91278922069068</v>
      </c>
      <c r="U74" s="30" t="n">
        <f aca="false">N74</f>
        <v>0.137146795313577</v>
      </c>
      <c r="V74" s="30" t="n">
        <f aca="false">O74</f>
        <v>0.579795021961933</v>
      </c>
      <c r="W74" s="45" t="n">
        <f aca="false">R74</f>
        <v>0</v>
      </c>
    </row>
    <row r="75" customFormat="false" ht="15" hidden="false" customHeight="true" outlineLevel="0" collapsed="false">
      <c r="A75" s="21" t="s">
        <v>68</v>
      </c>
      <c r="B75" s="21" t="s">
        <v>99</v>
      </c>
      <c r="C75" s="32" t="n">
        <f aca="false">'Raw Data'!D83</f>
        <v>2074</v>
      </c>
      <c r="D75" s="32" t="n">
        <f aca="false">'Raw Data'!E83</f>
        <v>263</v>
      </c>
      <c r="E75" s="32" t="n">
        <f aca="false">'Raw Data'!F83</f>
        <v>143</v>
      </c>
      <c r="F75" s="32" t="n">
        <f aca="false">'Raw Data'!G83+'Raw Data'!H83</f>
        <v>683</v>
      </c>
      <c r="G75" s="32" t="n">
        <f aca="false">'Raw Data'!I83</f>
        <v>804</v>
      </c>
      <c r="H75" s="32" t="n">
        <f aca="false">'Raw Data'!J83</f>
        <v>1675</v>
      </c>
      <c r="I75" s="32" t="n">
        <f aca="false">'Raw Data'!K83</f>
        <v>877</v>
      </c>
      <c r="J75" s="33" t="n">
        <f aca="false">G75/F75</f>
        <v>1.17715959004392</v>
      </c>
      <c r="K75" s="34" t="n">
        <f aca="false">E75/F75</f>
        <v>0.209370424597365</v>
      </c>
      <c r="L75" s="34" t="n">
        <f aca="false">E75/H75</f>
        <v>0.0853731343283582</v>
      </c>
      <c r="M75" s="35" t="n">
        <f aca="false">LN(H75)</f>
        <v>7.42356844425917</v>
      </c>
      <c r="N75" s="34" t="n">
        <f aca="false">(C75-'Raw Data'!D82)/'Raw Data'!D82</f>
        <v>0.110873058382432</v>
      </c>
      <c r="O75" s="34" t="n">
        <f aca="false">I75/H75</f>
        <v>0.523582089552239</v>
      </c>
      <c r="P75" s="33" t="n">
        <f aca="false">'Raw Data'!L83</f>
        <v>8.76</v>
      </c>
      <c r="Q75" s="33" t="n">
        <f aca="false">'Raw Data'!M83/'Raw Data'!N83</f>
        <v>4.1063829787234</v>
      </c>
      <c r="R75" s="46" t="n">
        <f aca="false">IF(OR(B75="FY19-20",B75="FY20-21"),1,0)</f>
        <v>0</v>
      </c>
      <c r="S75" s="33" t="n">
        <f aca="false">J75</f>
        <v>1.17715959004392</v>
      </c>
      <c r="T75" s="35" t="n">
        <f aca="false">M75</f>
        <v>7.42356844425917</v>
      </c>
      <c r="U75" s="34" t="n">
        <f aca="false">N75</f>
        <v>0.110873058382432</v>
      </c>
      <c r="V75" s="34" t="n">
        <f aca="false">O75</f>
        <v>0.523582089552239</v>
      </c>
      <c r="W75" s="46" t="n">
        <f aca="false">R75</f>
        <v>0</v>
      </c>
    </row>
    <row r="76" customFormat="false" ht="15" hidden="false" customHeight="true" outlineLevel="0" collapsed="false">
      <c r="A76" s="21" t="s">
        <v>68</v>
      </c>
      <c r="B76" s="21" t="s">
        <v>100</v>
      </c>
      <c r="C76" s="32" t="n">
        <f aca="false">'Raw Data'!D84</f>
        <v>2249</v>
      </c>
      <c r="D76" s="32" t="n">
        <f aca="false">'Raw Data'!E84</f>
        <v>282</v>
      </c>
      <c r="E76" s="32" t="n">
        <f aca="false">'Raw Data'!F84</f>
        <v>158</v>
      </c>
      <c r="F76" s="32" t="n">
        <f aca="false">'Raw Data'!G84+'Raw Data'!H84</f>
        <v>816</v>
      </c>
      <c r="G76" s="32" t="n">
        <f aca="false">'Raw Data'!I84</f>
        <v>1036</v>
      </c>
      <c r="H76" s="32" t="n">
        <f aca="false">'Raw Data'!J84</f>
        <v>2045</v>
      </c>
      <c r="I76" s="32" t="n">
        <f aca="false">'Raw Data'!K84</f>
        <v>1139</v>
      </c>
      <c r="J76" s="33" t="n">
        <f aca="false">G76/F76</f>
        <v>1.26960784313725</v>
      </c>
      <c r="K76" s="34" t="n">
        <f aca="false">E76/F76</f>
        <v>0.193627450980392</v>
      </c>
      <c r="L76" s="34" t="n">
        <f aca="false">E76/H76</f>
        <v>0.0772616136919316</v>
      </c>
      <c r="M76" s="35" t="n">
        <f aca="false">LN(H76)</f>
        <v>7.6231530684769</v>
      </c>
      <c r="N76" s="34" t="n">
        <f aca="false">(C76-'Raw Data'!D83)/'Raw Data'!D83</f>
        <v>0.0843780135004822</v>
      </c>
      <c r="O76" s="34" t="n">
        <f aca="false">I76/H76</f>
        <v>0.556968215158924</v>
      </c>
      <c r="P76" s="33" t="n">
        <f aca="false">'Raw Data'!L84</f>
        <v>9.64</v>
      </c>
      <c r="Q76" s="33" t="n">
        <f aca="false">'Raw Data'!M84/'Raw Data'!N84</f>
        <v>4.5440414507772</v>
      </c>
      <c r="R76" s="46" t="n">
        <f aca="false">IF(OR(B76="FY19-20",B76="FY20-21"),1,0)</f>
        <v>0</v>
      </c>
      <c r="S76" s="33" t="n">
        <f aca="false">J76</f>
        <v>1.26960784313725</v>
      </c>
      <c r="T76" s="35" t="n">
        <f aca="false">M76</f>
        <v>7.6231530684769</v>
      </c>
      <c r="U76" s="34" t="n">
        <f aca="false">N76</f>
        <v>0.0843780135004822</v>
      </c>
      <c r="V76" s="34" t="n">
        <f aca="false">O76</f>
        <v>0.556968215158924</v>
      </c>
      <c r="W76" s="46" t="n">
        <f aca="false">R76</f>
        <v>0</v>
      </c>
    </row>
    <row r="77" customFormat="false" ht="15" hidden="false" customHeight="true" outlineLevel="0" collapsed="false">
      <c r="A77" s="21" t="s">
        <v>68</v>
      </c>
      <c r="B77" s="21" t="s">
        <v>101</v>
      </c>
      <c r="C77" s="32" t="n">
        <f aca="false">'Raw Data'!D85</f>
        <v>2453</v>
      </c>
      <c r="D77" s="32" t="n">
        <f aca="false">'Raw Data'!E85</f>
        <v>247</v>
      </c>
      <c r="E77" s="32" t="n">
        <f aca="false">'Raw Data'!F85</f>
        <v>113</v>
      </c>
      <c r="F77" s="32" t="n">
        <f aca="false">'Raw Data'!G85+'Raw Data'!H85</f>
        <v>906</v>
      </c>
      <c r="G77" s="32" t="n">
        <f aca="false">'Raw Data'!I85</f>
        <v>1047</v>
      </c>
      <c r="H77" s="32" t="n">
        <f aca="false">'Raw Data'!J85</f>
        <v>2182</v>
      </c>
      <c r="I77" s="32" t="n">
        <f aca="false">'Raw Data'!K85</f>
        <v>1119</v>
      </c>
      <c r="J77" s="33" t="n">
        <f aca="false">G77/F77</f>
        <v>1.15562913907285</v>
      </c>
      <c r="K77" s="34" t="n">
        <f aca="false">E77/F77</f>
        <v>0.124724061810155</v>
      </c>
      <c r="L77" s="34" t="n">
        <f aca="false">E77/H77</f>
        <v>0.0517873510540788</v>
      </c>
      <c r="M77" s="35" t="n">
        <f aca="false">LN(H77)</f>
        <v>7.68799716639302</v>
      </c>
      <c r="N77" s="34" t="n">
        <f aca="false">(C77-'Raw Data'!D84)/'Raw Data'!D84</f>
        <v>0.0907069808803913</v>
      </c>
      <c r="O77" s="34" t="n">
        <f aca="false">I77/H77</f>
        <v>0.512832263978002</v>
      </c>
      <c r="P77" s="33" t="n">
        <f aca="false">'Raw Data'!L85</f>
        <v>6.91</v>
      </c>
      <c r="Q77" s="33" t="n">
        <f aca="false">'Raw Data'!M85/'Raw Data'!N85</f>
        <v>4.30263157894737</v>
      </c>
      <c r="R77" s="46" t="n">
        <f aca="false">IF(OR(B77="FY19-20",B77="FY20-21"),1,0)</f>
        <v>0</v>
      </c>
      <c r="S77" s="33" t="n">
        <f aca="false">J77</f>
        <v>1.15562913907285</v>
      </c>
      <c r="T77" s="35" t="n">
        <f aca="false">M77</f>
        <v>7.68799716639302</v>
      </c>
      <c r="U77" s="34" t="n">
        <f aca="false">N77</f>
        <v>0.0907069808803913</v>
      </c>
      <c r="V77" s="34" t="n">
        <f aca="false">O77</f>
        <v>0.512832263978002</v>
      </c>
      <c r="W77" s="46" t="n">
        <f aca="false">R77</f>
        <v>0</v>
      </c>
    </row>
    <row r="78" customFormat="false" ht="15" hidden="false" customHeight="true" outlineLevel="0" collapsed="false">
      <c r="A78" s="21" t="s">
        <v>68</v>
      </c>
      <c r="B78" s="21" t="s">
        <v>102</v>
      </c>
      <c r="C78" s="32" t="n">
        <f aca="false">'Raw Data'!D86</f>
        <v>2562</v>
      </c>
      <c r="D78" s="32" t="n">
        <f aca="false">'Raw Data'!E86</f>
        <v>219</v>
      </c>
      <c r="E78" s="32" t="n">
        <f aca="false">'Raw Data'!F86</f>
        <v>66</v>
      </c>
      <c r="F78" s="32" t="n">
        <f aca="false">'Raw Data'!G86+'Raw Data'!H86</f>
        <v>946</v>
      </c>
      <c r="G78" s="32" t="n">
        <f aca="false">'Raw Data'!I86</f>
        <v>923</v>
      </c>
      <c r="H78" s="32" t="n">
        <f aca="false">'Raw Data'!J86</f>
        <v>2131</v>
      </c>
      <c r="I78" s="32" t="n">
        <f aca="false">'Raw Data'!K86</f>
        <v>1074</v>
      </c>
      <c r="J78" s="33" t="n">
        <f aca="false">G78/F78</f>
        <v>0.97568710359408</v>
      </c>
      <c r="K78" s="34" t="n">
        <f aca="false">E78/F78</f>
        <v>0.0697674418604651</v>
      </c>
      <c r="L78" s="34" t="n">
        <f aca="false">E78/H78</f>
        <v>0.0309713749413421</v>
      </c>
      <c r="M78" s="35" t="n">
        <f aca="false">LN(H78)</f>
        <v>7.66434663209862</v>
      </c>
      <c r="N78" s="34" t="n">
        <f aca="false">(C78-'Raw Data'!D85)/'Raw Data'!D85</f>
        <v>0.0444353852425601</v>
      </c>
      <c r="O78" s="34" t="n">
        <f aca="false">I78/H78</f>
        <v>0.50398873768184</v>
      </c>
      <c r="P78" s="33" t="n">
        <f aca="false">'Raw Data'!L86</f>
        <v>4.01</v>
      </c>
      <c r="Q78" s="33" t="n">
        <f aca="false">'Raw Data'!M86/'Raw Data'!N86</f>
        <v>3.82758620689655</v>
      </c>
      <c r="R78" s="46" t="n">
        <f aca="false">IF(OR(B78="FY19-20",B78="FY20-21"),1,0)</f>
        <v>0</v>
      </c>
      <c r="S78" s="33" t="n">
        <f aca="false">J78</f>
        <v>0.97568710359408</v>
      </c>
      <c r="T78" s="35" t="n">
        <f aca="false">M78</f>
        <v>7.66434663209862</v>
      </c>
      <c r="U78" s="34" t="n">
        <f aca="false">N78</f>
        <v>0.0444353852425601</v>
      </c>
      <c r="V78" s="34" t="n">
        <f aca="false">O78</f>
        <v>0.50398873768184</v>
      </c>
      <c r="W78" s="46" t="n">
        <f aca="false">R78</f>
        <v>0</v>
      </c>
    </row>
    <row r="79" customFormat="false" ht="15" hidden="false" customHeight="true" outlineLevel="0" collapsed="false">
      <c r="A79" s="21" t="s">
        <v>68</v>
      </c>
      <c r="B79" s="21" t="s">
        <v>103</v>
      </c>
      <c r="C79" s="32" t="n">
        <f aca="false">'Raw Data'!D87</f>
        <v>2379</v>
      </c>
      <c r="D79" s="32" t="n">
        <f aca="false">'Raw Data'!E87</f>
        <v>178</v>
      </c>
      <c r="E79" s="32" t="n">
        <f aca="false">'Raw Data'!F87</f>
        <v>36</v>
      </c>
      <c r="F79" s="32" t="n">
        <f aca="false">'Raw Data'!G87+'Raw Data'!H87</f>
        <v>971</v>
      </c>
      <c r="G79" s="32" t="n">
        <f aca="false">'Raw Data'!I87</f>
        <v>868</v>
      </c>
      <c r="H79" s="32" t="n">
        <f aca="false">'Raw Data'!J87</f>
        <v>2118</v>
      </c>
      <c r="I79" s="32" t="n">
        <f aca="false">'Raw Data'!K87</f>
        <v>1210</v>
      </c>
      <c r="J79" s="33" t="n">
        <f aca="false">G79/F79</f>
        <v>0.893923789907312</v>
      </c>
      <c r="K79" s="34" t="n">
        <f aca="false">E79/F79</f>
        <v>0.0370751802265705</v>
      </c>
      <c r="L79" s="34" t="n">
        <f aca="false">E79/H79</f>
        <v>0.0169971671388102</v>
      </c>
      <c r="M79" s="35" t="n">
        <f aca="false">LN(H79)</f>
        <v>7.65822752616135</v>
      </c>
      <c r="N79" s="34" t="n">
        <f aca="false">(C79-'Raw Data'!D86)/'Raw Data'!D86</f>
        <v>-0.0714285714285714</v>
      </c>
      <c r="O79" s="34" t="n">
        <f aca="false">I79/H79</f>
        <v>0.571293673276676</v>
      </c>
      <c r="P79" s="33" t="n">
        <f aca="false">'Raw Data'!L87</f>
        <v>2.2</v>
      </c>
      <c r="Q79" s="33" t="n">
        <f aca="false">'Raw Data'!M87/'Raw Data'!N87</f>
        <v>3.13620071684588</v>
      </c>
      <c r="R79" s="46" t="n">
        <f aca="false">IF(OR(B79="FY19-20",B79="FY20-21"),1,0)</f>
        <v>1</v>
      </c>
      <c r="S79" s="33" t="n">
        <f aca="false">J79</f>
        <v>0.893923789907312</v>
      </c>
      <c r="T79" s="35" t="n">
        <f aca="false">M79</f>
        <v>7.65822752616135</v>
      </c>
      <c r="U79" s="34" t="n">
        <f aca="false">N79</f>
        <v>-0.0714285714285714</v>
      </c>
      <c r="V79" s="34" t="n">
        <f aca="false">O79</f>
        <v>0.571293673276676</v>
      </c>
      <c r="W79" s="46" t="n">
        <f aca="false">R79</f>
        <v>1</v>
      </c>
    </row>
    <row r="80" customFormat="false" ht="15" hidden="false" customHeight="true" outlineLevel="0" collapsed="false">
      <c r="A80" s="21" t="s">
        <v>68</v>
      </c>
      <c r="B80" s="21" t="s">
        <v>104</v>
      </c>
      <c r="C80" s="32" t="n">
        <f aca="false">'Raw Data'!D88</f>
        <v>1861</v>
      </c>
      <c r="D80" s="32" t="n">
        <f aca="false">'Raw Data'!E88</f>
        <v>115</v>
      </c>
      <c r="E80" s="32" t="n">
        <f aca="false">'Raw Data'!F88</f>
        <v>10</v>
      </c>
      <c r="F80" s="32" t="n">
        <f aca="false">'Raw Data'!G88+'Raw Data'!H88</f>
        <v>980</v>
      </c>
      <c r="G80" s="32" t="n">
        <f aca="false">'Raw Data'!I88</f>
        <v>901</v>
      </c>
      <c r="H80" s="32" t="n">
        <f aca="false">'Raw Data'!J88</f>
        <v>2149</v>
      </c>
      <c r="I80" s="32" t="n">
        <f aca="false">'Raw Data'!K88</f>
        <v>1231</v>
      </c>
      <c r="J80" s="33" t="n">
        <f aca="false">G80/F80</f>
        <v>0.919387755102041</v>
      </c>
      <c r="K80" s="34" t="n">
        <f aca="false">E80/F80</f>
        <v>0.0102040816326531</v>
      </c>
      <c r="L80" s="34" t="n">
        <f aca="false">E80/H80</f>
        <v>0.00465332712889716</v>
      </c>
      <c r="M80" s="35" t="n">
        <f aca="false">LN(H80)</f>
        <v>7.67275789664251</v>
      </c>
      <c r="N80" s="34" t="n">
        <f aca="false">(C80-'Raw Data'!D87)/'Raw Data'!D87</f>
        <v>-0.217738545607398</v>
      </c>
      <c r="O80" s="34" t="n">
        <f aca="false">I80/H80</f>
        <v>0.572824569567241</v>
      </c>
      <c r="P80" s="33" t="n">
        <f aca="false">'Raw Data'!L88</f>
        <v>0.58</v>
      </c>
      <c r="Q80" s="33" t="n">
        <f aca="false">'Raw Data'!M88/'Raw Data'!N88</f>
        <v>3.27611940298507</v>
      </c>
      <c r="R80" s="46" t="n">
        <f aca="false">IF(OR(B80="FY19-20",B80="FY20-21"),1,0)</f>
        <v>1</v>
      </c>
      <c r="S80" s="33" t="n">
        <f aca="false">J80</f>
        <v>0.919387755102041</v>
      </c>
      <c r="T80" s="35" t="n">
        <f aca="false">M80</f>
        <v>7.67275789664251</v>
      </c>
      <c r="U80" s="34" t="n">
        <f aca="false">N80</f>
        <v>-0.217738545607398</v>
      </c>
      <c r="V80" s="34" t="n">
        <f aca="false">O80</f>
        <v>0.572824569567241</v>
      </c>
      <c r="W80" s="46" t="n">
        <f aca="false">R80</f>
        <v>1</v>
      </c>
    </row>
    <row r="81" customFormat="false" ht="15" hidden="false" customHeight="true" outlineLevel="0" collapsed="false">
      <c r="A81" s="21" t="s">
        <v>68</v>
      </c>
      <c r="B81" s="21" t="s">
        <v>105</v>
      </c>
      <c r="C81" s="32" t="n">
        <f aca="false">'Raw Data'!D89</f>
        <v>3042</v>
      </c>
      <c r="D81" s="32" t="n">
        <f aca="false">'Raw Data'!E89</f>
        <v>387</v>
      </c>
      <c r="E81" s="32" t="n">
        <f aca="false">'Raw Data'!F89</f>
        <v>156</v>
      </c>
      <c r="F81" s="32" t="n">
        <f aca="false">'Raw Data'!G89+'Raw Data'!H89</f>
        <v>1130</v>
      </c>
      <c r="G81" s="32" t="n">
        <f aca="false">'Raw Data'!I89</f>
        <v>938</v>
      </c>
      <c r="H81" s="32" t="n">
        <f aca="false">'Raw Data'!J89</f>
        <v>2442</v>
      </c>
      <c r="I81" s="32" t="n">
        <f aca="false">'Raw Data'!K89</f>
        <v>1187</v>
      </c>
      <c r="J81" s="33" t="n">
        <f aca="false">G81/F81</f>
        <v>0.830088495575221</v>
      </c>
      <c r="K81" s="34" t="n">
        <f aca="false">E81/F81</f>
        <v>0.138053097345133</v>
      </c>
      <c r="L81" s="34" t="n">
        <f aca="false">E81/H81</f>
        <v>0.0638820638820639</v>
      </c>
      <c r="M81" s="35" t="n">
        <f aca="false">LN(H81)</f>
        <v>7.80057265467065</v>
      </c>
      <c r="N81" s="34" t="n">
        <f aca="false">(C81-'Raw Data'!D88)/'Raw Data'!D88</f>
        <v>0.634605051047824</v>
      </c>
      <c r="O81" s="34" t="n">
        <f aca="false">I81/H81</f>
        <v>0.486076986076986</v>
      </c>
      <c r="P81" s="33" t="n">
        <f aca="false">'Raw Data'!L89</f>
        <v>9.5</v>
      </c>
      <c r="Q81" s="33" t="n">
        <f aca="false">'Raw Data'!M89/'Raw Data'!N89</f>
        <v>3.21122994652406</v>
      </c>
      <c r="R81" s="46" t="n">
        <f aca="false">IF(OR(B81="FY19-20",B81="FY20-21"),1,0)</f>
        <v>0</v>
      </c>
      <c r="S81" s="33" t="n">
        <f aca="false">J81</f>
        <v>0.830088495575221</v>
      </c>
      <c r="T81" s="35" t="n">
        <f aca="false">M81</f>
        <v>7.80057265467065</v>
      </c>
      <c r="U81" s="34" t="n">
        <f aca="false">N81</f>
        <v>0.634605051047824</v>
      </c>
      <c r="V81" s="34" t="n">
        <f aca="false">O81</f>
        <v>0.486076986076986</v>
      </c>
      <c r="W81" s="46" t="n">
        <f aca="false">R81</f>
        <v>0</v>
      </c>
    </row>
    <row r="82" customFormat="false" ht="15" hidden="false" customHeight="true" outlineLevel="0" collapsed="false">
      <c r="A82" s="21" t="s">
        <v>68</v>
      </c>
      <c r="B82" s="21" t="s">
        <v>106</v>
      </c>
      <c r="C82" s="32" t="n">
        <f aca="false">'Raw Data'!D90</f>
        <v>3039</v>
      </c>
      <c r="D82" s="32" t="n">
        <f aca="false">'Raw Data'!E90</f>
        <v>264</v>
      </c>
      <c r="E82" s="32" t="n">
        <f aca="false">'Raw Data'!F90</f>
        <v>23</v>
      </c>
      <c r="F82" s="32" t="n">
        <f aca="false">'Raw Data'!G90+'Raw Data'!H90</f>
        <v>1123</v>
      </c>
      <c r="G82" s="32" t="n">
        <f aca="false">'Raw Data'!I90</f>
        <v>933</v>
      </c>
      <c r="H82" s="32" t="n">
        <f aca="false">'Raw Data'!J90</f>
        <v>2421</v>
      </c>
      <c r="I82" s="32" t="n">
        <f aca="false">'Raw Data'!K90</f>
        <v>1121</v>
      </c>
      <c r="J82" s="33" t="n">
        <f aca="false">G82/F82</f>
        <v>0.830810329474622</v>
      </c>
      <c r="K82" s="34" t="n">
        <f aca="false">E82/F82</f>
        <v>0.0204808548530721</v>
      </c>
      <c r="L82" s="34" t="n">
        <f aca="false">E82/H82</f>
        <v>0.00950020652622883</v>
      </c>
      <c r="M82" s="35" t="n">
        <f aca="false">LN(H82)</f>
        <v>7.79193595693806</v>
      </c>
      <c r="N82" s="34" t="n">
        <f aca="false">(C82-'Raw Data'!D89)/'Raw Data'!D89</f>
        <v>-0.000986193293885602</v>
      </c>
      <c r="O82" s="34" t="n">
        <f aca="false">I82/H82</f>
        <v>0.46303180503924</v>
      </c>
      <c r="P82" s="33" t="n">
        <f aca="false">'Raw Data'!L90</f>
        <v>1.39</v>
      </c>
      <c r="Q82" s="33" t="n">
        <f aca="false">'Raw Data'!M90/'Raw Data'!N90</f>
        <v>3.5</v>
      </c>
      <c r="R82" s="46" t="n">
        <f aca="false">IF(OR(B82="FY19-20",B82="FY20-21"),1,0)</f>
        <v>0</v>
      </c>
      <c r="S82" s="33" t="n">
        <f aca="false">J82</f>
        <v>0.830810329474622</v>
      </c>
      <c r="T82" s="35" t="n">
        <f aca="false">M82</f>
        <v>7.79193595693806</v>
      </c>
      <c r="U82" s="34" t="n">
        <f aca="false">N82</f>
        <v>-0.000986193293885602</v>
      </c>
      <c r="V82" s="34" t="n">
        <f aca="false">O82</f>
        <v>0.46303180503924</v>
      </c>
      <c r="W82" s="46" t="n">
        <f aca="false">R82</f>
        <v>0</v>
      </c>
    </row>
    <row r="83" customFormat="false" ht="15" hidden="false" customHeight="true" outlineLevel="0" collapsed="false">
      <c r="A83" s="21" t="s">
        <v>68</v>
      </c>
      <c r="B83" s="21" t="s">
        <v>107</v>
      </c>
      <c r="C83" s="32" t="n">
        <f aca="false">'Raw Data'!D91</f>
        <v>2672</v>
      </c>
      <c r="D83" s="32" t="n">
        <f aca="false">'Raw Data'!E91</f>
        <v>-29</v>
      </c>
      <c r="E83" s="32" t="n">
        <f aca="false">'Raw Data'!F91</f>
        <v>-135</v>
      </c>
      <c r="F83" s="32" t="n">
        <f aca="false">'Raw Data'!G91+'Raw Data'!H91</f>
        <v>976</v>
      </c>
      <c r="G83" s="32" t="n">
        <f aca="false">'Raw Data'!I91</f>
        <v>826</v>
      </c>
      <c r="H83" s="32" t="n">
        <f aca="false">'Raw Data'!J91</f>
        <v>2097</v>
      </c>
      <c r="I83" s="32" t="n">
        <f aca="false">'Raw Data'!K91</f>
        <v>1063</v>
      </c>
      <c r="J83" s="33" t="n">
        <f aca="false">G83/F83</f>
        <v>0.846311475409836</v>
      </c>
      <c r="K83" s="34" t="n">
        <f aca="false">E83/F83</f>
        <v>-0.138319672131148</v>
      </c>
      <c r="L83" s="34" t="n">
        <f aca="false">E83/H83</f>
        <v>-0.0643776824034335</v>
      </c>
      <c r="M83" s="35" t="n">
        <f aca="false">LN(H83)</f>
        <v>7.64826303090192</v>
      </c>
      <c r="N83" s="34" t="n">
        <f aca="false">(C83-'Raw Data'!D90)/'Raw Data'!D90</f>
        <v>-0.120763409016124</v>
      </c>
      <c r="O83" s="34" t="n">
        <f aca="false">I83/H83</f>
        <v>0.50691463996185</v>
      </c>
      <c r="P83" s="33" t="n">
        <f aca="false">'Raw Data'!L91</f>
        <v>-8.22</v>
      </c>
      <c r="Q83" s="33" t="n">
        <f aca="false">'Raw Data'!M91/'Raw Data'!N91</f>
        <v>3.45762711864407</v>
      </c>
      <c r="R83" s="46" t="n">
        <f aca="false">IF(OR(B83="FY19-20",B83="FY20-21"),1,0)</f>
        <v>0</v>
      </c>
      <c r="S83" s="33" t="n">
        <f aca="false">J83</f>
        <v>0.846311475409836</v>
      </c>
      <c r="T83" s="35" t="n">
        <f aca="false">M83</f>
        <v>7.64826303090192</v>
      </c>
      <c r="U83" s="34" t="n">
        <f aca="false">N83</f>
        <v>-0.120763409016124</v>
      </c>
      <c r="V83" s="34" t="n">
        <f aca="false">O83</f>
        <v>0.50691463996185</v>
      </c>
      <c r="W83" s="46" t="n">
        <f aca="false">R83</f>
        <v>0</v>
      </c>
    </row>
    <row r="84" customFormat="false" ht="15" hidden="false" customHeight="true" outlineLevel="0" collapsed="false">
      <c r="A84" s="21" t="s">
        <v>68</v>
      </c>
      <c r="B84" s="21" t="s">
        <v>108</v>
      </c>
      <c r="C84" s="32" t="n">
        <f aca="false">'Raw Data'!D92</f>
        <v>2642</v>
      </c>
      <c r="D84" s="32" t="n">
        <f aca="false">'Raw Data'!E92</f>
        <v>46</v>
      </c>
      <c r="E84" s="32" t="n">
        <f aca="false">'Raw Data'!F92</f>
        <v>-84</v>
      </c>
      <c r="F84" s="32" t="n">
        <f aca="false">'Raw Data'!G92+'Raw Data'!H92</f>
        <v>894</v>
      </c>
      <c r="G84" s="32" t="n">
        <f aca="false">'Raw Data'!I92</f>
        <v>877</v>
      </c>
      <c r="H84" s="32" t="n">
        <f aca="false">'Raw Data'!J92</f>
        <v>2043</v>
      </c>
      <c r="I84" s="32" t="n">
        <f aca="false">'Raw Data'!K92</f>
        <v>1010</v>
      </c>
      <c r="J84" s="33" t="n">
        <f aca="false">G84/F84</f>
        <v>0.980984340044743</v>
      </c>
      <c r="K84" s="34" t="n">
        <f aca="false">E84/F84</f>
        <v>-0.0939597315436242</v>
      </c>
      <c r="L84" s="34" t="n">
        <f aca="false">E84/H84</f>
        <v>-0.0411160058737151</v>
      </c>
      <c r="M84" s="35" t="n">
        <f aca="false">LN(H84)</f>
        <v>7.62217459481762</v>
      </c>
      <c r="N84" s="34" t="n">
        <f aca="false">(C84-'Raw Data'!D91)/'Raw Data'!D91</f>
        <v>-0.0112275449101796</v>
      </c>
      <c r="O84" s="34" t="n">
        <f aca="false">I84/H84</f>
        <v>0.494371023005384</v>
      </c>
      <c r="P84" s="33" t="n">
        <f aca="false">'Raw Data'!L92</f>
        <v>-5.14</v>
      </c>
      <c r="Q84" s="33" t="n">
        <f aca="false">'Raw Data'!M92/'Raw Data'!N92</f>
        <v>3.70695970695971</v>
      </c>
      <c r="R84" s="46" t="n">
        <f aca="false">IF(OR(B84="FY19-20",B84="FY20-21"),1,0)</f>
        <v>0</v>
      </c>
      <c r="S84" s="33" t="n">
        <f aca="false">J84</f>
        <v>0.980984340044743</v>
      </c>
      <c r="T84" s="35" t="n">
        <f aca="false">M84</f>
        <v>7.62217459481762</v>
      </c>
      <c r="U84" s="34" t="n">
        <f aca="false">N84</f>
        <v>-0.0112275449101796</v>
      </c>
      <c r="V84" s="34" t="n">
        <f aca="false">O84</f>
        <v>0.494371023005384</v>
      </c>
      <c r="W84" s="46" t="n">
        <f aca="false">R84</f>
        <v>0</v>
      </c>
    </row>
    <row r="85" customFormat="false" ht="15" hidden="false" customHeight="true" outlineLevel="0" collapsed="false">
      <c r="A85" s="18" t="s">
        <v>69</v>
      </c>
      <c r="B85" s="18" t="s">
        <v>99</v>
      </c>
      <c r="C85" s="28" t="n">
        <f aca="false">'Raw Data'!D94</f>
        <v>1123</v>
      </c>
      <c r="D85" s="28" t="n">
        <f aca="false">'Raw Data'!E94</f>
        <v>37</v>
      </c>
      <c r="E85" s="28" t="n">
        <f aca="false">'Raw Data'!F94</f>
        <v>61</v>
      </c>
      <c r="F85" s="28" t="n">
        <f aca="false">'Raw Data'!G94+'Raw Data'!H94</f>
        <v>212</v>
      </c>
      <c r="G85" s="28" t="n">
        <f aca="false">'Raw Data'!I94</f>
        <v>343</v>
      </c>
      <c r="H85" s="28" t="n">
        <f aca="false">'Raw Data'!J94</f>
        <v>725</v>
      </c>
      <c r="I85" s="28" t="n">
        <f aca="false">'Raw Data'!K94</f>
        <v>94</v>
      </c>
      <c r="J85" s="29" t="n">
        <f aca="false">G85/F85</f>
        <v>1.61792452830189</v>
      </c>
      <c r="K85" s="30" t="n">
        <f aca="false">E85/F85</f>
        <v>0.287735849056604</v>
      </c>
      <c r="L85" s="30" t="n">
        <f aca="false">E85/H85</f>
        <v>0.0841379310344828</v>
      </c>
      <c r="M85" s="31" t="n">
        <f aca="false">LN(H85)</f>
        <v>6.58617165485468</v>
      </c>
      <c r="N85" s="30" t="n">
        <f aca="false">(C85-'Raw Data'!D93)/'Raw Data'!D93</f>
        <v>0.0495327102803738</v>
      </c>
      <c r="O85" s="30" t="n">
        <f aca="false">I85/H85</f>
        <v>0.129655172413793</v>
      </c>
      <c r="P85" s="29" t="n">
        <f aca="false">'Raw Data'!L94</f>
        <v>17.44</v>
      </c>
      <c r="Q85" s="29" t="n">
        <f aca="false">'Raw Data'!M94/'Raw Data'!N94</f>
        <v>3.58333333333333</v>
      </c>
      <c r="R85" s="45" t="n">
        <f aca="false">IF(OR(B85="FY19-20",B85="FY20-21"),1,0)</f>
        <v>0</v>
      </c>
      <c r="S85" s="29" t="n">
        <f aca="false">J85</f>
        <v>1.61792452830189</v>
      </c>
      <c r="T85" s="31" t="n">
        <f aca="false">M85</f>
        <v>6.58617165485468</v>
      </c>
      <c r="U85" s="30" t="n">
        <f aca="false">N85</f>
        <v>0.0495327102803738</v>
      </c>
      <c r="V85" s="30" t="n">
        <f aca="false">O85</f>
        <v>0.129655172413793</v>
      </c>
      <c r="W85" s="45" t="n">
        <f aca="false">R85</f>
        <v>0</v>
      </c>
    </row>
    <row r="86" customFormat="false" ht="15" hidden="false" customHeight="true" outlineLevel="0" collapsed="false">
      <c r="A86" s="18" t="s">
        <v>69</v>
      </c>
      <c r="B86" s="18" t="s">
        <v>100</v>
      </c>
      <c r="C86" s="28" t="n">
        <f aca="false">'Raw Data'!D95</f>
        <v>915</v>
      </c>
      <c r="D86" s="28" t="n">
        <f aca="false">'Raw Data'!E95</f>
        <v>-31</v>
      </c>
      <c r="E86" s="28" t="n">
        <f aca="false">'Raw Data'!F95</f>
        <v>-46</v>
      </c>
      <c r="F86" s="28" t="n">
        <f aca="false">'Raw Data'!G95+'Raw Data'!H95</f>
        <v>165</v>
      </c>
      <c r="G86" s="28" t="n">
        <f aca="false">'Raw Data'!I95</f>
        <v>474</v>
      </c>
      <c r="H86" s="28" t="n">
        <f aca="false">'Raw Data'!J95</f>
        <v>794</v>
      </c>
      <c r="I86" s="28" t="n">
        <f aca="false">'Raw Data'!K95</f>
        <v>95</v>
      </c>
      <c r="J86" s="29" t="n">
        <f aca="false">G86/F86</f>
        <v>2.87272727272727</v>
      </c>
      <c r="K86" s="30" t="n">
        <f aca="false">E86/F86</f>
        <v>-0.278787878787879</v>
      </c>
      <c r="L86" s="30" t="n">
        <f aca="false">E86/H86</f>
        <v>-0.0579345088161209</v>
      </c>
      <c r="M86" s="31" t="n">
        <f aca="false">LN(H86)</f>
        <v>6.67708346124714</v>
      </c>
      <c r="N86" s="30" t="n">
        <f aca="false">(C86-'Raw Data'!D94)/'Raw Data'!D94</f>
        <v>-0.185218165627783</v>
      </c>
      <c r="O86" s="30" t="n">
        <f aca="false">I86/H86</f>
        <v>0.119647355163728</v>
      </c>
      <c r="P86" s="29" t="n">
        <f aca="false">'Raw Data'!L95</f>
        <v>-13.23</v>
      </c>
      <c r="Q86" s="29" t="n">
        <f aca="false">'Raw Data'!M95/'Raw Data'!N95</f>
        <v>4.35714285714286</v>
      </c>
      <c r="R86" s="45" t="n">
        <f aca="false">IF(OR(B86="FY19-20",B86="FY20-21"),1,0)</f>
        <v>0</v>
      </c>
      <c r="S86" s="29" t="n">
        <f aca="false">J86</f>
        <v>2.87272727272727</v>
      </c>
      <c r="T86" s="31" t="n">
        <f aca="false">M86</f>
        <v>6.67708346124714</v>
      </c>
      <c r="U86" s="30" t="n">
        <f aca="false">N86</f>
        <v>-0.185218165627783</v>
      </c>
      <c r="V86" s="30" t="n">
        <f aca="false">O86</f>
        <v>0.119647355163728</v>
      </c>
      <c r="W86" s="45" t="n">
        <f aca="false">R86</f>
        <v>0</v>
      </c>
    </row>
    <row r="87" customFormat="false" ht="15" hidden="false" customHeight="true" outlineLevel="0" collapsed="false">
      <c r="A87" s="18" t="s">
        <v>69</v>
      </c>
      <c r="B87" s="18" t="s">
        <v>101</v>
      </c>
      <c r="C87" s="28" t="n">
        <f aca="false">'Raw Data'!D96</f>
        <v>1031</v>
      </c>
      <c r="D87" s="28" t="n">
        <f aca="false">'Raw Data'!E96</f>
        <v>-23</v>
      </c>
      <c r="E87" s="28" t="n">
        <f aca="false">'Raw Data'!F96</f>
        <v>-31</v>
      </c>
      <c r="F87" s="28" t="n">
        <f aca="false">'Raw Data'!G96+'Raw Data'!H96</f>
        <v>130</v>
      </c>
      <c r="G87" s="28" t="n">
        <f aca="false">'Raw Data'!I96</f>
        <v>472</v>
      </c>
      <c r="H87" s="28" t="n">
        <f aca="false">'Raw Data'!J96</f>
        <v>794</v>
      </c>
      <c r="I87" s="28" t="n">
        <f aca="false">'Raw Data'!K96</f>
        <v>95</v>
      </c>
      <c r="J87" s="29" t="n">
        <f aca="false">G87/F87</f>
        <v>3.63076923076923</v>
      </c>
      <c r="K87" s="30" t="n">
        <f aca="false">E87/F87</f>
        <v>-0.238461538461538</v>
      </c>
      <c r="L87" s="30" t="n">
        <f aca="false">E87/H87</f>
        <v>-0.0390428211586902</v>
      </c>
      <c r="M87" s="31" t="n">
        <f aca="false">LN(H87)</f>
        <v>6.67708346124714</v>
      </c>
      <c r="N87" s="30" t="n">
        <f aca="false">(C87-'Raw Data'!D95)/'Raw Data'!D95</f>
        <v>0.126775956284153</v>
      </c>
      <c r="O87" s="30" t="n">
        <f aca="false">I87/H87</f>
        <v>0.119647355163728</v>
      </c>
      <c r="P87" s="29" t="n">
        <f aca="false">'Raw Data'!L96</f>
        <v>-8.83</v>
      </c>
      <c r="Q87" s="29" t="n">
        <f aca="false">'Raw Data'!M96/'Raw Data'!N96</f>
        <v>3.53645833333333</v>
      </c>
      <c r="R87" s="45" t="n">
        <f aca="false">IF(OR(B87="FY19-20",B87="FY20-21"),1,0)</f>
        <v>0</v>
      </c>
      <c r="S87" s="29" t="n">
        <f aca="false">J87</f>
        <v>3.63076923076923</v>
      </c>
      <c r="T87" s="31" t="n">
        <f aca="false">M87</f>
        <v>6.67708346124714</v>
      </c>
      <c r="U87" s="30" t="n">
        <f aca="false">N87</f>
        <v>0.126775956284153</v>
      </c>
      <c r="V87" s="30" t="n">
        <f aca="false">O87</f>
        <v>0.119647355163728</v>
      </c>
      <c r="W87" s="45" t="n">
        <f aca="false">R87</f>
        <v>0</v>
      </c>
    </row>
    <row r="88" customFormat="false" ht="15" hidden="false" customHeight="true" outlineLevel="0" collapsed="false">
      <c r="A88" s="18" t="s">
        <v>69</v>
      </c>
      <c r="B88" s="18" t="s">
        <v>102</v>
      </c>
      <c r="C88" s="28" t="n">
        <f aca="false">'Raw Data'!D97</f>
        <v>1173</v>
      </c>
      <c r="D88" s="28" t="n">
        <f aca="false">'Raw Data'!E97</f>
        <v>62</v>
      </c>
      <c r="E88" s="28" t="n">
        <f aca="false">'Raw Data'!F97</f>
        <v>26</v>
      </c>
      <c r="F88" s="28" t="n">
        <f aca="false">'Raw Data'!G97+'Raw Data'!H97</f>
        <v>239</v>
      </c>
      <c r="G88" s="28" t="n">
        <f aca="false">'Raw Data'!I97</f>
        <v>381</v>
      </c>
      <c r="H88" s="28" t="n">
        <f aca="false">'Raw Data'!J97</f>
        <v>823</v>
      </c>
      <c r="I88" s="28" t="n">
        <f aca="false">'Raw Data'!K97</f>
        <v>108</v>
      </c>
      <c r="J88" s="29" t="n">
        <f aca="false">G88/F88</f>
        <v>1.59414225941423</v>
      </c>
      <c r="K88" s="30" t="n">
        <f aca="false">E88/F88</f>
        <v>0.108786610878661</v>
      </c>
      <c r="L88" s="30" t="n">
        <f aca="false">E88/H88</f>
        <v>0.031591737545565</v>
      </c>
      <c r="M88" s="31" t="n">
        <f aca="false">LN(H88)</f>
        <v>6.71295620067707</v>
      </c>
      <c r="N88" s="30" t="n">
        <f aca="false">(C88-'Raw Data'!D96)/'Raw Data'!D96</f>
        <v>0.137730358874879</v>
      </c>
      <c r="O88" s="30" t="n">
        <f aca="false">I88/H88</f>
        <v>0.131227217496962</v>
      </c>
      <c r="P88" s="29" t="n">
        <f aca="false">'Raw Data'!L97</f>
        <v>5.99</v>
      </c>
      <c r="Q88" s="29" t="n">
        <f aca="false">'Raw Data'!M97/'Raw Data'!N97</f>
        <v>3.43564356435644</v>
      </c>
      <c r="R88" s="45" t="n">
        <f aca="false">IF(OR(B88="FY19-20",B88="FY20-21"),1,0)</f>
        <v>0</v>
      </c>
      <c r="S88" s="29" t="n">
        <f aca="false">J88</f>
        <v>1.59414225941423</v>
      </c>
      <c r="T88" s="31" t="n">
        <f aca="false">M88</f>
        <v>6.71295620067707</v>
      </c>
      <c r="U88" s="30" t="n">
        <f aca="false">N88</f>
        <v>0.137730358874879</v>
      </c>
      <c r="V88" s="30" t="n">
        <f aca="false">O88</f>
        <v>0.131227217496962</v>
      </c>
      <c r="W88" s="45" t="n">
        <f aca="false">R88</f>
        <v>0</v>
      </c>
    </row>
    <row r="89" customFormat="false" ht="15" hidden="false" customHeight="true" outlineLevel="0" collapsed="false">
      <c r="A89" s="18" t="s">
        <v>69</v>
      </c>
      <c r="B89" s="18" t="s">
        <v>103</v>
      </c>
      <c r="C89" s="28" t="n">
        <f aca="false">'Raw Data'!D98</f>
        <v>1368</v>
      </c>
      <c r="D89" s="28" t="n">
        <f aca="false">'Raw Data'!E98</f>
        <v>87</v>
      </c>
      <c r="E89" s="28" t="n">
        <f aca="false">'Raw Data'!F98</f>
        <v>32</v>
      </c>
      <c r="F89" s="28" t="n">
        <f aca="false">'Raw Data'!G98+'Raw Data'!H98</f>
        <v>228</v>
      </c>
      <c r="G89" s="28" t="n">
        <f aca="false">'Raw Data'!I98</f>
        <v>440</v>
      </c>
      <c r="H89" s="28" t="n">
        <f aca="false">'Raw Data'!J98</f>
        <v>939</v>
      </c>
      <c r="I89" s="28" t="n">
        <f aca="false">'Raw Data'!K98</f>
        <v>172</v>
      </c>
      <c r="J89" s="29" t="n">
        <f aca="false">G89/F89</f>
        <v>1.92982456140351</v>
      </c>
      <c r="K89" s="30" t="n">
        <f aca="false">E89/F89</f>
        <v>0.140350877192982</v>
      </c>
      <c r="L89" s="30" t="n">
        <f aca="false">E89/H89</f>
        <v>0.0340788072417465</v>
      </c>
      <c r="M89" s="31" t="n">
        <f aca="false">LN(H89)</f>
        <v>6.84481547920826</v>
      </c>
      <c r="N89" s="30" t="n">
        <f aca="false">(C89-'Raw Data'!D97)/'Raw Data'!D97</f>
        <v>0.166240409207161</v>
      </c>
      <c r="O89" s="30" t="n">
        <f aca="false">I89/H89</f>
        <v>0.183173588924388</v>
      </c>
      <c r="P89" s="29" t="n">
        <f aca="false">'Raw Data'!L98</f>
        <v>7.56</v>
      </c>
      <c r="Q89" s="29" t="n">
        <f aca="false">'Raw Data'!M98/'Raw Data'!N98</f>
        <v>2.62730627306273</v>
      </c>
      <c r="R89" s="45" t="n">
        <f aca="false">IF(OR(B89="FY19-20",B89="FY20-21"),1,0)</f>
        <v>1</v>
      </c>
      <c r="S89" s="29" t="n">
        <f aca="false">J89</f>
        <v>1.92982456140351</v>
      </c>
      <c r="T89" s="31" t="n">
        <f aca="false">M89</f>
        <v>6.84481547920826</v>
      </c>
      <c r="U89" s="30" t="n">
        <f aca="false">N89</f>
        <v>0.166240409207161</v>
      </c>
      <c r="V89" s="30" t="n">
        <f aca="false">O89</f>
        <v>0.183173588924388</v>
      </c>
      <c r="W89" s="45" t="n">
        <f aca="false">R89</f>
        <v>1</v>
      </c>
    </row>
    <row r="90" customFormat="false" ht="15" hidden="false" customHeight="true" outlineLevel="0" collapsed="false">
      <c r="A90" s="18" t="s">
        <v>69</v>
      </c>
      <c r="B90" s="18" t="s">
        <v>104</v>
      </c>
      <c r="C90" s="28" t="n">
        <f aca="false">'Raw Data'!D99</f>
        <v>1209</v>
      </c>
      <c r="D90" s="28" t="n">
        <f aca="false">'Raw Data'!E99</f>
        <v>101</v>
      </c>
      <c r="E90" s="28" t="n">
        <f aca="false">'Raw Data'!F99</f>
        <v>26</v>
      </c>
      <c r="F90" s="28" t="n">
        <f aca="false">'Raw Data'!G99+'Raw Data'!H99</f>
        <v>291</v>
      </c>
      <c r="G90" s="28" t="n">
        <f aca="false">'Raw Data'!I99</f>
        <v>476</v>
      </c>
      <c r="H90" s="28" t="n">
        <f aca="false">'Raw Data'!J99</f>
        <v>1005</v>
      </c>
      <c r="I90" s="28" t="n">
        <f aca="false">'Raw Data'!K99</f>
        <v>235</v>
      </c>
      <c r="J90" s="29" t="n">
        <f aca="false">G90/F90</f>
        <v>1.63573883161512</v>
      </c>
      <c r="K90" s="30" t="n">
        <f aca="false">E90/F90</f>
        <v>0.0893470790378007</v>
      </c>
      <c r="L90" s="30" t="n">
        <f aca="false">E90/H90</f>
        <v>0.0258706467661692</v>
      </c>
      <c r="M90" s="31" t="n">
        <f aca="false">LN(H90)</f>
        <v>6.91274282049318</v>
      </c>
      <c r="N90" s="30" t="n">
        <f aca="false">(C90-'Raw Data'!D98)/'Raw Data'!D98</f>
        <v>-0.116228070175439</v>
      </c>
      <c r="O90" s="30" t="n">
        <f aca="false">I90/H90</f>
        <v>0.233830845771144</v>
      </c>
      <c r="P90" s="29" t="n">
        <f aca="false">'Raw Data'!L99</f>
        <v>6.12</v>
      </c>
      <c r="Q90" s="29" t="n">
        <f aca="false">'Raw Data'!M99/'Raw Data'!N99</f>
        <v>3.0084388185654</v>
      </c>
      <c r="R90" s="45" t="n">
        <f aca="false">IF(OR(B90="FY19-20",B90="FY20-21"),1,0)</f>
        <v>1</v>
      </c>
      <c r="S90" s="29" t="n">
        <f aca="false">J90</f>
        <v>1.63573883161512</v>
      </c>
      <c r="T90" s="31" t="n">
        <f aca="false">M90</f>
        <v>6.91274282049318</v>
      </c>
      <c r="U90" s="30" t="n">
        <f aca="false">N90</f>
        <v>-0.116228070175439</v>
      </c>
      <c r="V90" s="30" t="n">
        <f aca="false">O90</f>
        <v>0.233830845771144</v>
      </c>
      <c r="W90" s="45" t="n">
        <f aca="false">R90</f>
        <v>1</v>
      </c>
    </row>
    <row r="91" customFormat="false" ht="15" hidden="false" customHeight="true" outlineLevel="0" collapsed="false">
      <c r="A91" s="18" t="s">
        <v>69</v>
      </c>
      <c r="B91" s="18" t="s">
        <v>105</v>
      </c>
      <c r="C91" s="28" t="n">
        <f aca="false">'Raw Data'!D100</f>
        <v>1789</v>
      </c>
      <c r="D91" s="28" t="n">
        <f aca="false">'Raw Data'!E100</f>
        <v>204</v>
      </c>
      <c r="E91" s="28" t="n">
        <f aca="false">'Raw Data'!F100</f>
        <v>117</v>
      </c>
      <c r="F91" s="28" t="n">
        <f aca="false">'Raw Data'!G100+'Raw Data'!H100</f>
        <v>709</v>
      </c>
      <c r="G91" s="28" t="n">
        <f aca="false">'Raw Data'!I100</f>
        <v>191</v>
      </c>
      <c r="H91" s="28" t="n">
        <f aca="false">'Raw Data'!J100</f>
        <v>1226</v>
      </c>
      <c r="I91" s="28" t="n">
        <f aca="false">'Raw Data'!K100</f>
        <v>282</v>
      </c>
      <c r="J91" s="29" t="n">
        <f aca="false">G91/F91</f>
        <v>0.269393511988717</v>
      </c>
      <c r="K91" s="30" t="n">
        <f aca="false">E91/F91</f>
        <v>0.165021156558533</v>
      </c>
      <c r="L91" s="30" t="n">
        <f aca="false">E91/H91</f>
        <v>0.0954323001631321</v>
      </c>
      <c r="M91" s="31" t="n">
        <f aca="false">LN(H91)</f>
        <v>7.11151211649616</v>
      </c>
      <c r="N91" s="30" t="n">
        <f aca="false">(C91-'Raw Data'!D99)/'Raw Data'!D99</f>
        <v>0.479735318444996</v>
      </c>
      <c r="O91" s="30" t="n">
        <f aca="false">I91/H91</f>
        <v>0.230016313213703</v>
      </c>
      <c r="P91" s="29" t="n">
        <f aca="false">'Raw Data'!L100</f>
        <v>19.79</v>
      </c>
      <c r="Q91" s="29" t="n">
        <f aca="false">'Raw Data'!M100/'Raw Data'!N100</f>
        <v>2.36923076923077</v>
      </c>
      <c r="R91" s="45" t="n">
        <f aca="false">IF(OR(B91="FY19-20",B91="FY20-21"),1,0)</f>
        <v>0</v>
      </c>
      <c r="S91" s="29" t="n">
        <f aca="false">J91</f>
        <v>0.269393511988717</v>
      </c>
      <c r="T91" s="31" t="n">
        <f aca="false">M91</f>
        <v>7.11151211649616</v>
      </c>
      <c r="U91" s="30" t="n">
        <f aca="false">N91</f>
        <v>0.479735318444996</v>
      </c>
      <c r="V91" s="30" t="n">
        <f aca="false">O91</f>
        <v>0.230016313213703</v>
      </c>
      <c r="W91" s="45" t="n">
        <f aca="false">R91</f>
        <v>0</v>
      </c>
    </row>
    <row r="92" customFormat="false" ht="15" hidden="false" customHeight="true" outlineLevel="0" collapsed="false">
      <c r="A92" s="18" t="s">
        <v>69</v>
      </c>
      <c r="B92" s="18" t="s">
        <v>106</v>
      </c>
      <c r="C92" s="28" t="n">
        <f aca="false">'Raw Data'!D101</f>
        <v>2221</v>
      </c>
      <c r="D92" s="28" t="n">
        <f aca="false">'Raw Data'!E101</f>
        <v>269</v>
      </c>
      <c r="E92" s="28" t="n">
        <f aca="false">'Raw Data'!F101</f>
        <v>178</v>
      </c>
      <c r="F92" s="28" t="n">
        <f aca="false">'Raw Data'!G101+'Raw Data'!H101</f>
        <v>893</v>
      </c>
      <c r="G92" s="28" t="n">
        <f aca="false">'Raw Data'!I101</f>
        <v>141</v>
      </c>
      <c r="H92" s="28" t="n">
        <f aca="false">'Raw Data'!J101</f>
        <v>1343</v>
      </c>
      <c r="I92" s="28" t="n">
        <f aca="false">'Raw Data'!K101</f>
        <v>261</v>
      </c>
      <c r="J92" s="29" t="n">
        <f aca="false">G92/F92</f>
        <v>0.157894736842105</v>
      </c>
      <c r="K92" s="30" t="n">
        <f aca="false">E92/F92</f>
        <v>0.1993281075028</v>
      </c>
      <c r="L92" s="30" t="n">
        <f aca="false">E92/H92</f>
        <v>0.132539091586002</v>
      </c>
      <c r="M92" s="31" t="n">
        <f aca="false">LN(H92)</f>
        <v>7.20266119652324</v>
      </c>
      <c r="N92" s="30" t="n">
        <f aca="false">(C92-'Raw Data'!D100)/'Raw Data'!D100</f>
        <v>0.241475684740078</v>
      </c>
      <c r="O92" s="30" t="n">
        <f aca="false">I92/H92</f>
        <v>0.194341027550261</v>
      </c>
      <c r="P92" s="29" t="n">
        <f aca="false">'Raw Data'!L101</f>
        <v>29.45</v>
      </c>
      <c r="Q92" s="29" t="n">
        <f aca="false">'Raw Data'!M101/'Raw Data'!N101</f>
        <v>2.32038834951456</v>
      </c>
      <c r="R92" s="45" t="n">
        <f aca="false">IF(OR(B92="FY19-20",B92="FY20-21"),1,0)</f>
        <v>0</v>
      </c>
      <c r="S92" s="29" t="n">
        <f aca="false">J92</f>
        <v>0.157894736842105</v>
      </c>
      <c r="T92" s="31" t="n">
        <f aca="false">M92</f>
        <v>7.20266119652324</v>
      </c>
      <c r="U92" s="30" t="n">
        <f aca="false">N92</f>
        <v>0.241475684740078</v>
      </c>
      <c r="V92" s="30" t="n">
        <f aca="false">O92</f>
        <v>0.194341027550261</v>
      </c>
      <c r="W92" s="45" t="n">
        <f aca="false">R92</f>
        <v>0</v>
      </c>
    </row>
    <row r="93" customFormat="false" ht="15" hidden="false" customHeight="true" outlineLevel="0" collapsed="false">
      <c r="A93" s="18" t="s">
        <v>69</v>
      </c>
      <c r="B93" s="18" t="s">
        <v>107</v>
      </c>
      <c r="C93" s="28" t="n">
        <f aca="false">'Raw Data'!D102</f>
        <v>2139</v>
      </c>
      <c r="D93" s="28" t="n">
        <f aca="false">'Raw Data'!E102</f>
        <v>255</v>
      </c>
      <c r="E93" s="28" t="n">
        <f aca="false">'Raw Data'!F102</f>
        <v>164</v>
      </c>
      <c r="F93" s="28" t="n">
        <f aca="false">'Raw Data'!G102+'Raw Data'!H102</f>
        <v>1342</v>
      </c>
      <c r="G93" s="28" t="n">
        <f aca="false">'Raw Data'!I102</f>
        <v>254</v>
      </c>
      <c r="H93" s="28" t="n">
        <f aca="false">'Raw Data'!J102</f>
        <v>1955</v>
      </c>
      <c r="I93" s="28" t="n">
        <f aca="false">'Raw Data'!K102</f>
        <v>254</v>
      </c>
      <c r="J93" s="29" t="n">
        <f aca="false">G93/F93</f>
        <v>0.189269746646796</v>
      </c>
      <c r="K93" s="30" t="n">
        <f aca="false">E93/F93</f>
        <v>0.12220566318927</v>
      </c>
      <c r="L93" s="30" t="n">
        <f aca="false">E93/H93</f>
        <v>0.0838874680306905</v>
      </c>
      <c r="M93" s="31" t="n">
        <f aca="false">LN(H93)</f>
        <v>7.57814547241947</v>
      </c>
      <c r="N93" s="30" t="n">
        <f aca="false">(C93-'Raw Data'!D101)/'Raw Data'!D101</f>
        <v>-0.0369203061683926</v>
      </c>
      <c r="O93" s="30" t="n">
        <f aca="false">I93/H93</f>
        <v>0.129923273657289</v>
      </c>
      <c r="P93" s="29" t="n">
        <f aca="false">'Raw Data'!L102</f>
        <v>25.9</v>
      </c>
      <c r="Q93" s="29" t="n">
        <f aca="false">'Raw Data'!M102/'Raw Data'!N102</f>
        <v>3.33426183844011</v>
      </c>
      <c r="R93" s="45" t="n">
        <f aca="false">IF(OR(B93="FY19-20",B93="FY20-21"),1,0)</f>
        <v>0</v>
      </c>
      <c r="S93" s="29" t="n">
        <f aca="false">J93</f>
        <v>0.189269746646796</v>
      </c>
      <c r="T93" s="31" t="n">
        <f aca="false">M93</f>
        <v>7.57814547241947</v>
      </c>
      <c r="U93" s="30" t="n">
        <f aca="false">N93</f>
        <v>-0.0369203061683926</v>
      </c>
      <c r="V93" s="30" t="n">
        <f aca="false">O93</f>
        <v>0.129923273657289</v>
      </c>
      <c r="W93" s="45" t="n">
        <f aca="false">R93</f>
        <v>0</v>
      </c>
    </row>
    <row r="94" customFormat="false" ht="15" hidden="false" customHeight="true" outlineLevel="0" collapsed="false">
      <c r="A94" s="18" t="s">
        <v>69</v>
      </c>
      <c r="B94" s="18" t="s">
        <v>108</v>
      </c>
      <c r="C94" s="28" t="n">
        <f aca="false">'Raw Data'!D103</f>
        <v>2477</v>
      </c>
      <c r="D94" s="28" t="n">
        <f aca="false">'Raw Data'!E103</f>
        <v>244</v>
      </c>
      <c r="E94" s="28" t="n">
        <f aca="false">'Raw Data'!F103</f>
        <v>191</v>
      </c>
      <c r="F94" s="28" t="n">
        <f aca="false">'Raw Data'!G103+'Raw Data'!H103</f>
        <v>2145</v>
      </c>
      <c r="G94" s="28" t="n">
        <f aca="false">'Raw Data'!I103</f>
        <v>192</v>
      </c>
      <c r="H94" s="28" t="n">
        <f aca="false">'Raw Data'!J103</f>
        <v>2763</v>
      </c>
      <c r="I94" s="28" t="n">
        <f aca="false">'Raw Data'!K103</f>
        <v>272</v>
      </c>
      <c r="J94" s="29" t="n">
        <f aca="false">G94/F94</f>
        <v>0.0895104895104895</v>
      </c>
      <c r="K94" s="30" t="n">
        <f aca="false">E94/F94</f>
        <v>0.089044289044289</v>
      </c>
      <c r="L94" s="30" t="n">
        <f aca="false">E94/H94</f>
        <v>0.0691277596815056</v>
      </c>
      <c r="M94" s="31" t="n">
        <f aca="false">LN(H94)</f>
        <v>7.92407232492342</v>
      </c>
      <c r="N94" s="30" t="n">
        <f aca="false">(C94-'Raw Data'!D102)/'Raw Data'!D102</f>
        <v>0.158017765310893</v>
      </c>
      <c r="O94" s="30" t="n">
        <f aca="false">I94/H94</f>
        <v>0.0984437205935577</v>
      </c>
      <c r="P94" s="29" t="n">
        <f aca="false">'Raw Data'!L103</f>
        <v>26.77</v>
      </c>
      <c r="Q94" s="29" t="n">
        <f aca="false">'Raw Data'!M103/'Raw Data'!N103</f>
        <v>3.87089201877934</v>
      </c>
      <c r="R94" s="45" t="n">
        <f aca="false">IF(OR(B94="FY19-20",B94="FY20-21"),1,0)</f>
        <v>0</v>
      </c>
      <c r="S94" s="29" t="n">
        <f aca="false">J94</f>
        <v>0.0895104895104895</v>
      </c>
      <c r="T94" s="31" t="n">
        <f aca="false">M94</f>
        <v>7.92407232492342</v>
      </c>
      <c r="U94" s="30" t="n">
        <f aca="false">N94</f>
        <v>0.158017765310893</v>
      </c>
      <c r="V94" s="30" t="n">
        <f aca="false">O94</f>
        <v>0.0984437205935577</v>
      </c>
      <c r="W94" s="45" t="n">
        <f aca="false">R94</f>
        <v>0</v>
      </c>
    </row>
    <row r="95" customFormat="false" ht="15" hidden="false" customHeight="true" outlineLevel="0" collapsed="false">
      <c r="A95" s="21" t="s">
        <v>70</v>
      </c>
      <c r="B95" s="21" t="s">
        <v>99</v>
      </c>
      <c r="C95" s="32" t="n">
        <f aca="false">'Raw Data'!D105</f>
        <v>1609</v>
      </c>
      <c r="D95" s="32" t="n">
        <f aca="false">'Raw Data'!E105</f>
        <v>196</v>
      </c>
      <c r="E95" s="32" t="n">
        <f aca="false">'Raw Data'!F105</f>
        <v>84</v>
      </c>
      <c r="F95" s="32" t="n">
        <f aca="false">'Raw Data'!G105+'Raw Data'!H105</f>
        <v>506</v>
      </c>
      <c r="G95" s="32" t="n">
        <f aca="false">'Raw Data'!I105</f>
        <v>408</v>
      </c>
      <c r="H95" s="32" t="n">
        <f aca="false">'Raw Data'!J105</f>
        <v>1195</v>
      </c>
      <c r="I95" s="32" t="n">
        <f aca="false">'Raw Data'!K105</f>
        <v>403</v>
      </c>
      <c r="J95" s="33" t="n">
        <f aca="false">G95/F95</f>
        <v>0.806324110671937</v>
      </c>
      <c r="K95" s="34" t="n">
        <f aca="false">E95/F95</f>
        <v>0.16600790513834</v>
      </c>
      <c r="L95" s="34" t="n">
        <f aca="false">E95/H95</f>
        <v>0.0702928870292887</v>
      </c>
      <c r="M95" s="35" t="n">
        <f aca="false">LN(H95)</f>
        <v>7.08590146436561</v>
      </c>
      <c r="N95" s="34" t="n">
        <f aca="false">(C95-'Raw Data'!D104)/'Raw Data'!D104</f>
        <v>0.0755347593582888</v>
      </c>
      <c r="O95" s="34" t="n">
        <f aca="false">I95/H95</f>
        <v>0.337238493723849</v>
      </c>
      <c r="P95" s="33" t="n">
        <f aca="false">'Raw Data'!L105</f>
        <v>17.93</v>
      </c>
      <c r="Q95" s="33" t="n">
        <f aca="false">'Raw Data'!M105/'Raw Data'!N105</f>
        <v>2.75886524822695</v>
      </c>
      <c r="R95" s="46" t="n">
        <f aca="false">IF(OR(B95="FY19-20",B95="FY20-21"),1,0)</f>
        <v>0</v>
      </c>
      <c r="S95" s="33" t="n">
        <f aca="false">J95</f>
        <v>0.806324110671937</v>
      </c>
      <c r="T95" s="35" t="n">
        <f aca="false">M95</f>
        <v>7.08590146436561</v>
      </c>
      <c r="U95" s="34" t="n">
        <f aca="false">N95</f>
        <v>0.0755347593582888</v>
      </c>
      <c r="V95" s="34" t="n">
        <f aca="false">O95</f>
        <v>0.337238493723849</v>
      </c>
      <c r="W95" s="46" t="n">
        <f aca="false">R95</f>
        <v>0</v>
      </c>
    </row>
    <row r="96" customFormat="false" ht="15" hidden="false" customHeight="true" outlineLevel="0" collapsed="false">
      <c r="A96" s="21" t="s">
        <v>70</v>
      </c>
      <c r="B96" s="21" t="s">
        <v>100</v>
      </c>
      <c r="C96" s="32" t="n">
        <f aca="false">'Raw Data'!D106</f>
        <v>1570</v>
      </c>
      <c r="D96" s="32" t="n">
        <f aca="false">'Raw Data'!E106</f>
        <v>197</v>
      </c>
      <c r="E96" s="32" t="n">
        <f aca="false">'Raw Data'!F106</f>
        <v>91</v>
      </c>
      <c r="F96" s="32" t="n">
        <f aca="false">'Raw Data'!G106+'Raw Data'!H106</f>
        <v>596</v>
      </c>
      <c r="G96" s="32" t="n">
        <f aca="false">'Raw Data'!I106</f>
        <v>305</v>
      </c>
      <c r="H96" s="32" t="n">
        <f aca="false">'Raw Data'!J106</f>
        <v>1159</v>
      </c>
      <c r="I96" s="32" t="n">
        <f aca="false">'Raw Data'!K106</f>
        <v>445</v>
      </c>
      <c r="J96" s="33" t="n">
        <f aca="false">G96/F96</f>
        <v>0.511744966442953</v>
      </c>
      <c r="K96" s="34" t="n">
        <f aca="false">E96/F96</f>
        <v>0.152684563758389</v>
      </c>
      <c r="L96" s="34" t="n">
        <f aca="false">E96/H96</f>
        <v>0.0785159620362381</v>
      </c>
      <c r="M96" s="35" t="n">
        <f aca="false">LN(H96)</f>
        <v>7.05531284333975</v>
      </c>
      <c r="N96" s="34" t="n">
        <f aca="false">(C96-'Raw Data'!D105)/'Raw Data'!D105</f>
        <v>-0.0242386575512741</v>
      </c>
      <c r="O96" s="34" t="n">
        <f aca="false">I96/H96</f>
        <v>0.383951682484901</v>
      </c>
      <c r="P96" s="33" t="n">
        <f aca="false">'Raw Data'!L106</f>
        <v>19.41</v>
      </c>
      <c r="Q96" s="33" t="n">
        <f aca="false">'Raw Data'!M106/'Raw Data'!N106</f>
        <v>2.76744186046512</v>
      </c>
      <c r="R96" s="46" t="n">
        <f aca="false">IF(OR(B96="FY19-20",B96="FY20-21"),1,0)</f>
        <v>0</v>
      </c>
      <c r="S96" s="33" t="n">
        <f aca="false">J96</f>
        <v>0.511744966442953</v>
      </c>
      <c r="T96" s="35" t="n">
        <f aca="false">M96</f>
        <v>7.05531284333975</v>
      </c>
      <c r="U96" s="34" t="n">
        <f aca="false">N96</f>
        <v>-0.0242386575512741</v>
      </c>
      <c r="V96" s="34" t="n">
        <f aca="false">O96</f>
        <v>0.383951682484901</v>
      </c>
      <c r="W96" s="46" t="n">
        <f aca="false">R96</f>
        <v>0</v>
      </c>
    </row>
    <row r="97" customFormat="false" ht="15" hidden="false" customHeight="true" outlineLevel="0" collapsed="false">
      <c r="A97" s="21" t="s">
        <v>70</v>
      </c>
      <c r="B97" s="21" t="s">
        <v>101</v>
      </c>
      <c r="C97" s="32" t="n">
        <f aca="false">'Raw Data'!D107</f>
        <v>1733</v>
      </c>
      <c r="D97" s="32" t="n">
        <f aca="false">'Raw Data'!E107</f>
        <v>246</v>
      </c>
      <c r="E97" s="32" t="n">
        <f aca="false">'Raw Data'!F107</f>
        <v>112</v>
      </c>
      <c r="F97" s="32" t="n">
        <f aca="false">'Raw Data'!G107+'Raw Data'!H107</f>
        <v>678</v>
      </c>
      <c r="G97" s="32" t="n">
        <f aca="false">'Raw Data'!I107</f>
        <v>573</v>
      </c>
      <c r="H97" s="32" t="n">
        <f aca="false">'Raw Data'!J107</f>
        <v>1553</v>
      </c>
      <c r="I97" s="32" t="n">
        <f aca="false">'Raw Data'!K107</f>
        <v>532</v>
      </c>
      <c r="J97" s="33" t="n">
        <f aca="false">G97/F97</f>
        <v>0.845132743362832</v>
      </c>
      <c r="K97" s="34" t="n">
        <f aca="false">E97/F97</f>
        <v>0.165191740412979</v>
      </c>
      <c r="L97" s="34" t="n">
        <f aca="false">E97/H97</f>
        <v>0.0721184803605924</v>
      </c>
      <c r="M97" s="35" t="n">
        <f aca="false">LN(H97)</f>
        <v>7.34794382314869</v>
      </c>
      <c r="N97" s="34" t="n">
        <f aca="false">(C97-'Raw Data'!D106)/'Raw Data'!D106</f>
        <v>0.103821656050955</v>
      </c>
      <c r="O97" s="34" t="n">
        <f aca="false">I97/H97</f>
        <v>0.342562781712814</v>
      </c>
      <c r="P97" s="33" t="n">
        <f aca="false">'Raw Data'!L107</f>
        <v>23.81</v>
      </c>
      <c r="Q97" s="33" t="n">
        <f aca="false">'Raw Data'!M107/'Raw Data'!N107</f>
        <v>3.28571428571429</v>
      </c>
      <c r="R97" s="46" t="n">
        <f aca="false">IF(OR(B97="FY19-20",B97="FY20-21"),1,0)</f>
        <v>0</v>
      </c>
      <c r="S97" s="33" t="n">
        <f aca="false">J97</f>
        <v>0.845132743362832</v>
      </c>
      <c r="T97" s="35" t="n">
        <f aca="false">M97</f>
        <v>7.34794382314869</v>
      </c>
      <c r="U97" s="34" t="n">
        <f aca="false">N97</f>
        <v>0.103821656050955</v>
      </c>
      <c r="V97" s="34" t="n">
        <f aca="false">O97</f>
        <v>0.342562781712814</v>
      </c>
      <c r="W97" s="46" t="n">
        <f aca="false">R97</f>
        <v>0</v>
      </c>
    </row>
    <row r="98" customFormat="false" ht="15" hidden="false" customHeight="true" outlineLevel="0" collapsed="false">
      <c r="A98" s="21" t="s">
        <v>70</v>
      </c>
      <c r="B98" s="21" t="s">
        <v>102</v>
      </c>
      <c r="C98" s="32" t="n">
        <f aca="false">'Raw Data'!D108</f>
        <v>1815</v>
      </c>
      <c r="D98" s="32" t="n">
        <f aca="false">'Raw Data'!E108</f>
        <v>241</v>
      </c>
      <c r="E98" s="32" t="n">
        <f aca="false">'Raw Data'!F108</f>
        <v>101</v>
      </c>
      <c r="F98" s="32" t="n">
        <f aca="false">'Raw Data'!G108+'Raw Data'!H108</f>
        <v>757</v>
      </c>
      <c r="G98" s="32" t="n">
        <f aca="false">'Raw Data'!I108</f>
        <v>444</v>
      </c>
      <c r="H98" s="32" t="n">
        <f aca="false">'Raw Data'!J108</f>
        <v>1505</v>
      </c>
      <c r="I98" s="32" t="n">
        <f aca="false">'Raw Data'!K108</f>
        <v>527</v>
      </c>
      <c r="J98" s="33" t="n">
        <f aca="false">G98/F98</f>
        <v>0.586525759577279</v>
      </c>
      <c r="K98" s="34" t="n">
        <f aca="false">E98/F98</f>
        <v>0.133421400264201</v>
      </c>
      <c r="L98" s="34" t="n">
        <f aca="false">E98/H98</f>
        <v>0.067109634551495</v>
      </c>
      <c r="M98" s="35" t="n">
        <f aca="false">LN(H98)</f>
        <v>7.31654817718298</v>
      </c>
      <c r="N98" s="34" t="n">
        <f aca="false">(C98-'Raw Data'!D107)/'Raw Data'!D107</f>
        <v>0.0473167916907098</v>
      </c>
      <c r="O98" s="34" t="n">
        <f aca="false">I98/H98</f>
        <v>0.350166112956811</v>
      </c>
      <c r="P98" s="33" t="n">
        <f aca="false">'Raw Data'!L108</f>
        <v>21.58</v>
      </c>
      <c r="Q98" s="33" t="n">
        <f aca="false">'Raw Data'!M108/'Raw Data'!N108</f>
        <v>3.14521452145215</v>
      </c>
      <c r="R98" s="46" t="n">
        <f aca="false">IF(OR(B98="FY19-20",B98="FY20-21"),1,0)</f>
        <v>0</v>
      </c>
      <c r="S98" s="33" t="n">
        <f aca="false">J98</f>
        <v>0.586525759577279</v>
      </c>
      <c r="T98" s="35" t="n">
        <f aca="false">M98</f>
        <v>7.31654817718298</v>
      </c>
      <c r="U98" s="34" t="n">
        <f aca="false">N98</f>
        <v>0.0473167916907098</v>
      </c>
      <c r="V98" s="34" t="n">
        <f aca="false">O98</f>
        <v>0.350166112956811</v>
      </c>
      <c r="W98" s="46" t="n">
        <f aca="false">R98</f>
        <v>0</v>
      </c>
    </row>
    <row r="99" customFormat="false" ht="15" hidden="false" customHeight="true" outlineLevel="0" collapsed="false">
      <c r="A99" s="21" t="s">
        <v>70</v>
      </c>
      <c r="B99" s="21" t="s">
        <v>103</v>
      </c>
      <c r="C99" s="32" t="n">
        <f aca="false">'Raw Data'!D109</f>
        <v>1698</v>
      </c>
      <c r="D99" s="32" t="n">
        <f aca="false">'Raw Data'!E109</f>
        <v>169</v>
      </c>
      <c r="E99" s="32" t="n">
        <f aca="false">'Raw Data'!F109</f>
        <v>72</v>
      </c>
      <c r="F99" s="32" t="n">
        <f aca="false">'Raw Data'!G109+'Raw Data'!H109</f>
        <v>767</v>
      </c>
      <c r="G99" s="32" t="n">
        <f aca="false">'Raw Data'!I109</f>
        <v>428</v>
      </c>
      <c r="H99" s="32" t="n">
        <f aca="false">'Raw Data'!J109</f>
        <v>1503</v>
      </c>
      <c r="I99" s="32" t="n">
        <f aca="false">'Raw Data'!K109</f>
        <v>552</v>
      </c>
      <c r="J99" s="33" t="n">
        <f aca="false">G99/F99</f>
        <v>0.558018252933507</v>
      </c>
      <c r="K99" s="34" t="n">
        <f aca="false">E99/F99</f>
        <v>0.0938722294654498</v>
      </c>
      <c r="L99" s="34" t="n">
        <f aca="false">E99/H99</f>
        <v>0.0479041916167665</v>
      </c>
      <c r="M99" s="35" t="n">
        <f aca="false">LN(H99)</f>
        <v>7.31521838975298</v>
      </c>
      <c r="N99" s="34" t="n">
        <f aca="false">(C99-'Raw Data'!D108)/'Raw Data'!D108</f>
        <v>-0.0644628099173554</v>
      </c>
      <c r="O99" s="34" t="n">
        <f aca="false">I99/H99</f>
        <v>0.367265469061876</v>
      </c>
      <c r="P99" s="33" t="n">
        <f aca="false">'Raw Data'!L109</f>
        <v>15.3</v>
      </c>
      <c r="Q99" s="33" t="n">
        <f aca="false">'Raw Data'!M109/'Raw Data'!N109</f>
        <v>3.00649350649351</v>
      </c>
      <c r="R99" s="46" t="n">
        <f aca="false">IF(OR(B99="FY19-20",B99="FY20-21"),1,0)</f>
        <v>1</v>
      </c>
      <c r="S99" s="33" t="n">
        <f aca="false">J99</f>
        <v>0.558018252933507</v>
      </c>
      <c r="T99" s="35" t="n">
        <f aca="false">M99</f>
        <v>7.31521838975298</v>
      </c>
      <c r="U99" s="34" t="n">
        <f aca="false">N99</f>
        <v>-0.0644628099173554</v>
      </c>
      <c r="V99" s="34" t="n">
        <f aca="false">O99</f>
        <v>0.367265469061876</v>
      </c>
      <c r="W99" s="46" t="n">
        <f aca="false">R99</f>
        <v>1</v>
      </c>
    </row>
    <row r="100" customFormat="false" ht="15" hidden="false" customHeight="true" outlineLevel="0" collapsed="false">
      <c r="A100" s="21" t="s">
        <v>70</v>
      </c>
      <c r="B100" s="21" t="s">
        <v>104</v>
      </c>
      <c r="C100" s="32" t="n">
        <f aca="false">'Raw Data'!D110</f>
        <v>1088</v>
      </c>
      <c r="D100" s="32" t="n">
        <f aca="false">'Raw Data'!E110</f>
        <v>55</v>
      </c>
      <c r="E100" s="32" t="n">
        <f aca="false">'Raw Data'!F110</f>
        <v>5</v>
      </c>
      <c r="F100" s="32" t="n">
        <f aca="false">'Raw Data'!G110+'Raw Data'!H110</f>
        <v>774</v>
      </c>
      <c r="G100" s="32" t="n">
        <f aca="false">'Raw Data'!I110</f>
        <v>139</v>
      </c>
      <c r="H100" s="32" t="n">
        <f aca="false">'Raw Data'!J110</f>
        <v>1217</v>
      </c>
      <c r="I100" s="32" t="n">
        <f aca="false">'Raw Data'!K110</f>
        <v>490</v>
      </c>
      <c r="J100" s="33" t="n">
        <f aca="false">G100/F100</f>
        <v>0.179586563307494</v>
      </c>
      <c r="K100" s="34" t="n">
        <f aca="false">E100/F100</f>
        <v>0.00645994832041344</v>
      </c>
      <c r="L100" s="34" t="n">
        <f aca="false">E100/H100</f>
        <v>0.00410846343467543</v>
      </c>
      <c r="M100" s="35" t="n">
        <f aca="false">LN(H100)</f>
        <v>7.10414409298753</v>
      </c>
      <c r="N100" s="34" t="n">
        <f aca="false">(C100-'Raw Data'!D109)/'Raw Data'!D109</f>
        <v>-0.35924617196702</v>
      </c>
      <c r="O100" s="34" t="n">
        <f aca="false">I100/H100</f>
        <v>0.402629416598192</v>
      </c>
      <c r="P100" s="33" t="n">
        <f aca="false">'Raw Data'!L110</f>
        <v>1.14</v>
      </c>
      <c r="Q100" s="33" t="n">
        <f aca="false">'Raw Data'!M110/'Raw Data'!N110</f>
        <v>2.22368421052632</v>
      </c>
      <c r="R100" s="46" t="n">
        <f aca="false">IF(OR(B100="FY19-20",B100="FY20-21"),1,0)</f>
        <v>1</v>
      </c>
      <c r="S100" s="33" t="n">
        <f aca="false">J100</f>
        <v>0.179586563307494</v>
      </c>
      <c r="T100" s="35" t="n">
        <f aca="false">M100</f>
        <v>7.10414409298753</v>
      </c>
      <c r="U100" s="34" t="n">
        <f aca="false">N100</f>
        <v>-0.35924617196702</v>
      </c>
      <c r="V100" s="34" t="n">
        <f aca="false">O100</f>
        <v>0.402629416598192</v>
      </c>
      <c r="W100" s="46" t="n">
        <f aca="false">R100</f>
        <v>1</v>
      </c>
    </row>
    <row r="101" customFormat="false" ht="15" hidden="false" customHeight="true" outlineLevel="0" collapsed="false">
      <c r="A101" s="21" t="s">
        <v>70</v>
      </c>
      <c r="B101" s="21" t="s">
        <v>105</v>
      </c>
      <c r="C101" s="32" t="n">
        <f aca="false">'Raw Data'!D111</f>
        <v>1903</v>
      </c>
      <c r="D101" s="32" t="n">
        <f aca="false">'Raw Data'!E111</f>
        <v>334</v>
      </c>
      <c r="E101" s="32" t="n">
        <f aca="false">'Raw Data'!F111</f>
        <v>213</v>
      </c>
      <c r="F101" s="32" t="n">
        <f aca="false">'Raw Data'!G111+'Raw Data'!H111</f>
        <v>937</v>
      </c>
      <c r="G101" s="32" t="n">
        <f aca="false">'Raw Data'!I111</f>
        <v>223</v>
      </c>
      <c r="H101" s="32" t="n">
        <f aca="false">'Raw Data'!J111</f>
        <v>1515</v>
      </c>
      <c r="I101" s="32" t="n">
        <f aca="false">'Raw Data'!K111</f>
        <v>500</v>
      </c>
      <c r="J101" s="33" t="n">
        <f aca="false">G101/F101</f>
        <v>0.237993596584845</v>
      </c>
      <c r="K101" s="34" t="n">
        <f aca="false">E101/F101</f>
        <v>0.227321237993597</v>
      </c>
      <c r="L101" s="34" t="n">
        <f aca="false">E101/H101</f>
        <v>0.140594059405941</v>
      </c>
      <c r="M101" s="35" t="n">
        <f aca="false">LN(H101)</f>
        <v>7.32317071794347</v>
      </c>
      <c r="N101" s="34" t="n">
        <f aca="false">(C101-'Raw Data'!D110)/'Raw Data'!D110</f>
        <v>0.749080882352941</v>
      </c>
      <c r="O101" s="34" t="n">
        <f aca="false">I101/H101</f>
        <v>0.33003300330033</v>
      </c>
      <c r="P101" s="33" t="n">
        <f aca="false">'Raw Data'!L111</f>
        <v>45.34</v>
      </c>
      <c r="Q101" s="33" t="n">
        <f aca="false">'Raw Data'!M111/'Raw Data'!N111</f>
        <v>2.72394366197183</v>
      </c>
      <c r="R101" s="46" t="n">
        <f aca="false">IF(OR(B101="FY19-20",B101="FY20-21"),1,0)</f>
        <v>0</v>
      </c>
      <c r="S101" s="33" t="n">
        <f aca="false">J101</f>
        <v>0.237993596584845</v>
      </c>
      <c r="T101" s="35" t="n">
        <f aca="false">M101</f>
        <v>7.32317071794347</v>
      </c>
      <c r="U101" s="34" t="n">
        <f aca="false">N101</f>
        <v>0.749080882352941</v>
      </c>
      <c r="V101" s="34" t="n">
        <f aca="false">O101</f>
        <v>0.33003300330033</v>
      </c>
      <c r="W101" s="46" t="n">
        <f aca="false">R101</f>
        <v>0</v>
      </c>
    </row>
    <row r="102" customFormat="false" ht="15" hidden="false" customHeight="true" outlineLevel="0" collapsed="false">
      <c r="A102" s="21" t="s">
        <v>70</v>
      </c>
      <c r="B102" s="21" t="s">
        <v>106</v>
      </c>
      <c r="C102" s="32" t="n">
        <f aca="false">'Raw Data'!D112</f>
        <v>2229</v>
      </c>
      <c r="D102" s="32" t="n">
        <f aca="false">'Raw Data'!E112</f>
        <v>369</v>
      </c>
      <c r="E102" s="32" t="n">
        <f aca="false">'Raw Data'!F112</f>
        <v>252</v>
      </c>
      <c r="F102" s="32" t="n">
        <f aca="false">'Raw Data'!G112+'Raw Data'!H112</f>
        <v>1141</v>
      </c>
      <c r="G102" s="32" t="n">
        <f aca="false">'Raw Data'!I112</f>
        <v>163</v>
      </c>
      <c r="H102" s="32" t="n">
        <f aca="false">'Raw Data'!J112</f>
        <v>1640</v>
      </c>
      <c r="I102" s="32" t="n">
        <f aca="false">'Raw Data'!K112</f>
        <v>482</v>
      </c>
      <c r="J102" s="33" t="n">
        <f aca="false">G102/F102</f>
        <v>0.142857142857143</v>
      </c>
      <c r="K102" s="34" t="n">
        <f aca="false">E102/F102</f>
        <v>0.220858895705521</v>
      </c>
      <c r="L102" s="34" t="n">
        <f aca="false">E102/H102</f>
        <v>0.153658536585366</v>
      </c>
      <c r="M102" s="35" t="n">
        <f aca="false">LN(H102)</f>
        <v>7.40245152081824</v>
      </c>
      <c r="N102" s="34" t="n">
        <f aca="false">(C102-'Raw Data'!D111)/'Raw Data'!D111</f>
        <v>0.171308460325801</v>
      </c>
      <c r="O102" s="34" t="n">
        <f aca="false">I102/H102</f>
        <v>0.29390243902439</v>
      </c>
      <c r="P102" s="33" t="n">
        <f aca="false">'Raw Data'!L112</f>
        <v>53.73</v>
      </c>
      <c r="Q102" s="33" t="n">
        <f aca="false">'Raw Data'!M112/'Raw Data'!N112</f>
        <v>3.04166666666667</v>
      </c>
      <c r="R102" s="46" t="n">
        <f aca="false">IF(OR(B102="FY19-20",B102="FY20-21"),1,0)</f>
        <v>0</v>
      </c>
      <c r="S102" s="33" t="n">
        <f aca="false">J102</f>
        <v>0.142857142857143</v>
      </c>
      <c r="T102" s="35" t="n">
        <f aca="false">M102</f>
        <v>7.40245152081824</v>
      </c>
      <c r="U102" s="34" t="n">
        <f aca="false">N102</f>
        <v>0.171308460325801</v>
      </c>
      <c r="V102" s="34" t="n">
        <f aca="false">O102</f>
        <v>0.29390243902439</v>
      </c>
      <c r="W102" s="46" t="n">
        <f aca="false">R102</f>
        <v>0</v>
      </c>
    </row>
    <row r="103" customFormat="false" ht="15" hidden="false" customHeight="true" outlineLevel="0" collapsed="false">
      <c r="A103" s="21" t="s">
        <v>70</v>
      </c>
      <c r="B103" s="21" t="s">
        <v>107</v>
      </c>
      <c r="C103" s="32" t="n">
        <f aca="false">'Raw Data'!D113</f>
        <v>2087</v>
      </c>
      <c r="D103" s="32" t="n">
        <f aca="false">'Raw Data'!E113</f>
        <v>286</v>
      </c>
      <c r="E103" s="32" t="n">
        <f aca="false">'Raw Data'!F113</f>
        <v>185</v>
      </c>
      <c r="F103" s="32" t="n">
        <f aca="false">'Raw Data'!G113+'Raw Data'!H113</f>
        <v>1141</v>
      </c>
      <c r="G103" s="32" t="n">
        <f aca="false">'Raw Data'!I113</f>
        <v>175</v>
      </c>
      <c r="H103" s="32" t="n">
        <f aca="false">'Raw Data'!J113</f>
        <v>1606</v>
      </c>
      <c r="I103" s="32" t="n">
        <f aca="false">'Raw Data'!K113</f>
        <v>493</v>
      </c>
      <c r="J103" s="33" t="n">
        <f aca="false">G103/F103</f>
        <v>0.153374233128834</v>
      </c>
      <c r="K103" s="34" t="n">
        <f aca="false">E103/F103</f>
        <v>0.162138475021911</v>
      </c>
      <c r="L103" s="34" t="n">
        <f aca="false">E103/H103</f>
        <v>0.11519302615193</v>
      </c>
      <c r="M103" s="35" t="n">
        <f aca="false">LN(H103)</f>
        <v>7.38150189450671</v>
      </c>
      <c r="N103" s="34" t="n">
        <f aca="false">(C103-'Raw Data'!D112)/'Raw Data'!D112</f>
        <v>-0.0637056976222521</v>
      </c>
      <c r="O103" s="34" t="n">
        <f aca="false">I103/H103</f>
        <v>0.306973848069739</v>
      </c>
      <c r="P103" s="33" t="n">
        <f aca="false">'Raw Data'!L113</f>
        <v>40.7</v>
      </c>
      <c r="Q103" s="33" t="n">
        <f aca="false">'Raw Data'!M113/'Raw Data'!N113</f>
        <v>3.69655172413793</v>
      </c>
      <c r="R103" s="46" t="n">
        <f aca="false">IF(OR(B103="FY19-20",B103="FY20-21"),1,0)</f>
        <v>0</v>
      </c>
      <c r="S103" s="33" t="n">
        <f aca="false">J103</f>
        <v>0.153374233128834</v>
      </c>
      <c r="T103" s="35" t="n">
        <f aca="false">M103</f>
        <v>7.38150189450671</v>
      </c>
      <c r="U103" s="34" t="n">
        <f aca="false">N103</f>
        <v>-0.0637056976222521</v>
      </c>
      <c r="V103" s="34" t="n">
        <f aca="false">O103</f>
        <v>0.306973848069739</v>
      </c>
      <c r="W103" s="46" t="n">
        <f aca="false">R103</f>
        <v>0</v>
      </c>
    </row>
    <row r="104" customFormat="false" ht="15" hidden="false" customHeight="true" outlineLevel="0" collapsed="false">
      <c r="A104" s="21" t="s">
        <v>70</v>
      </c>
      <c r="B104" s="21" t="s">
        <v>108</v>
      </c>
      <c r="C104" s="32" t="n">
        <f aca="false">'Raw Data'!D114</f>
        <v>2220</v>
      </c>
      <c r="D104" s="32" t="n">
        <f aca="false">'Raw Data'!E114</f>
        <v>277</v>
      </c>
      <c r="E104" s="32" t="n">
        <f aca="false">'Raw Data'!F114</f>
        <v>199</v>
      </c>
      <c r="F104" s="32" t="n">
        <f aca="false">'Raw Data'!G114+'Raw Data'!H114</f>
        <v>1288</v>
      </c>
      <c r="G104" s="32" t="n">
        <f aca="false">'Raw Data'!I114</f>
        <v>262</v>
      </c>
      <c r="H104" s="32" t="n">
        <f aca="false">'Raw Data'!J114</f>
        <v>1893</v>
      </c>
      <c r="I104" s="32" t="n">
        <f aca="false">'Raw Data'!K114</f>
        <v>592</v>
      </c>
      <c r="J104" s="33" t="n">
        <f aca="false">G104/F104</f>
        <v>0.203416149068323</v>
      </c>
      <c r="K104" s="34" t="n">
        <f aca="false">E104/F104</f>
        <v>0.154503105590062</v>
      </c>
      <c r="L104" s="34" t="n">
        <f aca="false">E104/H104</f>
        <v>0.105124141574221</v>
      </c>
      <c r="M104" s="35" t="n">
        <f aca="false">LN(H104)</f>
        <v>7.54591815120932</v>
      </c>
      <c r="N104" s="34" t="n">
        <f aca="false">(C104-'Raw Data'!D113)/'Raw Data'!D113</f>
        <v>0.0637278390033541</v>
      </c>
      <c r="O104" s="34" t="n">
        <f aca="false">I104/H104</f>
        <v>0.312731114632858</v>
      </c>
      <c r="P104" s="33" t="n">
        <f aca="false">'Raw Data'!L114</f>
        <v>43.8</v>
      </c>
      <c r="Q104" s="33" t="n">
        <f aca="false">'Raw Data'!M114/'Raw Data'!N114</f>
        <v>3.16666666666667</v>
      </c>
      <c r="R104" s="46" t="n">
        <f aca="false">IF(OR(B104="FY19-20",B104="FY20-21"),1,0)</f>
        <v>0</v>
      </c>
      <c r="S104" s="33" t="n">
        <f aca="false">J104</f>
        <v>0.203416149068323</v>
      </c>
      <c r="T104" s="35" t="n">
        <f aca="false">M104</f>
        <v>7.54591815120932</v>
      </c>
      <c r="U104" s="34" t="n">
        <f aca="false">N104</f>
        <v>0.0637278390033541</v>
      </c>
      <c r="V104" s="34" t="n">
        <f aca="false">O104</f>
        <v>0.312731114632858</v>
      </c>
      <c r="W104" s="46" t="n">
        <f aca="false">R104</f>
        <v>0</v>
      </c>
    </row>
  </sheetData>
  <mergeCells count="3">
    <mergeCell ref="A1:P1"/>
    <mergeCell ref="A2:P2"/>
    <mergeCell ref="S3:W3"/>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6"/>
    <col collapsed="false" customWidth="true" hidden="false" outlineLevel="0" max="2" min="2" style="14" width="11"/>
    <col collapsed="false" customWidth="true" hidden="false" outlineLevel="0" max="7" min="3" style="14" width="10"/>
    <col collapsed="false" customWidth="true" hidden="false" outlineLevel="0" max="8" min="8" style="14" width="13"/>
    <col collapsed="false" customWidth="true" hidden="false" outlineLevel="0" max="10" min="9" style="14" width="15"/>
    <col collapsed="false" customWidth="true" hidden="false" outlineLevel="0" max="11" min="11" style="14" width="14"/>
    <col collapsed="false" customWidth="true" hidden="false" outlineLevel="0" max="12" min="12" style="0" width="14"/>
  </cols>
  <sheetData>
    <row r="1" customFormat="false" ht="17.25" hidden="false" customHeight="true" outlineLevel="0" collapsed="false">
      <c r="A1" s="15" t="s">
        <v>180</v>
      </c>
      <c r="B1" s="15"/>
      <c r="C1" s="15"/>
      <c r="D1" s="15"/>
      <c r="E1" s="15"/>
      <c r="F1" s="15"/>
      <c r="G1" s="15"/>
      <c r="H1" s="15"/>
      <c r="I1" s="15"/>
      <c r="J1" s="15"/>
      <c r="K1" s="15"/>
      <c r="L1" s="15"/>
    </row>
    <row r="3" customFormat="false" ht="23.25" hidden="false" customHeight="true" outlineLevel="0" collapsed="false">
      <c r="A3" s="17" t="s">
        <v>46</v>
      </c>
      <c r="B3" s="17" t="s">
        <v>181</v>
      </c>
      <c r="C3" s="17" t="s">
        <v>182</v>
      </c>
      <c r="D3" s="17" t="s">
        <v>183</v>
      </c>
      <c r="E3" s="17" t="s">
        <v>184</v>
      </c>
      <c r="F3" s="17" t="s">
        <v>185</v>
      </c>
      <c r="G3" s="17" t="s">
        <v>186</v>
      </c>
      <c r="H3" s="17" t="s">
        <v>187</v>
      </c>
      <c r="I3" s="17" t="s">
        <v>188</v>
      </c>
      <c r="J3" s="17" t="s">
        <v>189</v>
      </c>
      <c r="K3" s="17" t="s">
        <v>190</v>
      </c>
      <c r="L3" s="17" t="s">
        <v>191</v>
      </c>
    </row>
    <row r="4" customFormat="false" ht="15" hidden="false" customHeight="true" outlineLevel="0" collapsed="false">
      <c r="A4" s="18" t="s">
        <v>60</v>
      </c>
      <c r="B4" s="47" t="n">
        <f aca="false">AVERAGEIF('Ratios Panel'!$A$5:$A$104,A4,'Ratios Panel'!$J$5:$J$104)</f>
        <v>0.26862495720227</v>
      </c>
      <c r="C4" s="47" t="n">
        <f aca="false">SQRT(SUMPRODUCT(('Ratios Panel'!$A$5:$A$104=A4)*('Ratios Panel'!$J$5:$J$104-B4)^2)/(COUNTIF('Ratios Panel'!$A$5:$A$104,A4)-1))</f>
        <v>0.175714497578238</v>
      </c>
      <c r="D4" s="47" t="n">
        <f aca="false">_xlfn.MINIFS('Ratios Panel'!$J$5:$J$104,'Ratios Panel'!$A$5:$A$104,A4)</f>
        <v>0.0625</v>
      </c>
      <c r="E4" s="47" t="n">
        <f aca="false">_xlfn.MAXIFS('Ratios Panel'!$J$5:$J$104,'Ratios Panel'!$A$5:$A$104,A4)</f>
        <v>0.601427115188583</v>
      </c>
      <c r="F4" s="48" t="n">
        <f aca="false">AVERAGEIF('Ratios Panel'!$A$5:$A$104,A4,'Ratios Panel'!$K$5:$K$104)</f>
        <v>0.197993796117782</v>
      </c>
      <c r="G4" s="48" t="n">
        <f aca="false">AVERAGEIF('Ratios Panel'!$A$5:$A$104,A4,'Ratios Panel'!$L$5:$L$104)</f>
        <v>0.144014005897975</v>
      </c>
      <c r="H4" s="47" t="n">
        <f aca="false">AVERAGEIF('Ratios Panel'!$A$5:$A$104,A4,'Ratios Panel'!$P$5:$P$104)</f>
        <v>12.094</v>
      </c>
      <c r="I4" s="48" t="n">
        <f aca="false">AVERAGEIF('Ratios Panel'!$A$5:$A$104,A4,'Ratios Panel'!$N$5:$N$104)</f>
        <v>0.082229384533091</v>
      </c>
      <c r="J4" s="48" t="n">
        <f aca="false">AVERAGEIF('Ratios Panel'!$A$5:$A$104,A4,'Ratios Panel'!$O$5:$O$104)</f>
        <v>0.356656236099541</v>
      </c>
      <c r="K4" s="49" t="n">
        <f aca="false">AVERAGEIF('Ratios Panel'!$A$5:$A$104,A4,'Ratios Panel'!$M$5:$M$104)</f>
        <v>7.88520557444515</v>
      </c>
      <c r="L4" s="47" t="n">
        <f aca="false">AVERAGEIF('Ratios Panel'!$A$5:$A$104,A4,'Ratios Panel'!$Q$5:$Q$104)</f>
        <v>5.60270277622488</v>
      </c>
    </row>
    <row r="5" customFormat="false" ht="15" hidden="false" customHeight="true" outlineLevel="0" collapsed="false">
      <c r="A5" s="21" t="s">
        <v>62</v>
      </c>
      <c r="B5" s="50" t="n">
        <f aca="false">AVERAGEIF('Ratios Panel'!$A$5:$A$104,A5,'Ratios Panel'!$J$5:$J$104)</f>
        <v>0.780918419080599</v>
      </c>
      <c r="C5" s="50" t="n">
        <f aca="false">SQRT(SUMPRODUCT(('Ratios Panel'!$A$5:$A$104=A5)*('Ratios Panel'!$J$5:$J$104-B5)^2)/(COUNTIF('Ratios Panel'!$A$5:$A$104,A5)-1))</f>
        <v>0.373435859407386</v>
      </c>
      <c r="D5" s="50" t="n">
        <f aca="false">_xlfn.MINIFS('Ratios Panel'!$J$5:$J$104,'Ratios Panel'!$A$5:$A$104,A5)</f>
        <v>0.379280575539568</v>
      </c>
      <c r="E5" s="50" t="n">
        <f aca="false">_xlfn.MAXIFS('Ratios Panel'!$J$5:$J$104,'Ratios Panel'!$A$5:$A$104,A5)</f>
        <v>1.35123749341759</v>
      </c>
      <c r="F5" s="51" t="n">
        <f aca="false">AVERAGEIF('Ratios Panel'!$A$5:$A$104,A5,'Ratios Panel'!$K$5:$K$104)</f>
        <v>0.142806500961306</v>
      </c>
      <c r="G5" s="51" t="n">
        <f aca="false">AVERAGEIF('Ratios Panel'!$A$5:$A$104,A5,'Ratios Panel'!$L$5:$L$104)</f>
        <v>0.0632118651589881</v>
      </c>
      <c r="H5" s="50" t="n">
        <f aca="false">AVERAGEIF('Ratios Panel'!$A$5:$A$104,A5,'Ratios Panel'!$P$5:$P$104)</f>
        <v>4.044</v>
      </c>
      <c r="I5" s="51" t="n">
        <f aca="false">AVERAGEIF('Ratios Panel'!$A$5:$A$104,A5,'Ratios Panel'!$N$5:$N$104)</f>
        <v>0.0754402558679562</v>
      </c>
      <c r="J5" s="51" t="n">
        <f aca="false">AVERAGEIF('Ratios Panel'!$A$5:$A$104,A5,'Ratios Panel'!$O$5:$O$104)</f>
        <v>0.416139983035701</v>
      </c>
      <c r="K5" s="52" t="n">
        <f aca="false">AVERAGEIF('Ratios Panel'!$A$5:$A$104,A5,'Ratios Panel'!$M$5:$M$104)</f>
        <v>8.76767085459089</v>
      </c>
      <c r="L5" s="50" t="n">
        <f aca="false">AVERAGEIF('Ratios Panel'!$A$5:$A$104,A5,'Ratios Panel'!$Q$5:$Q$104)</f>
        <v>1.876560758676</v>
      </c>
    </row>
    <row r="6" customFormat="false" ht="15" hidden="false" customHeight="true" outlineLevel="0" collapsed="false">
      <c r="A6" s="18" t="s">
        <v>63</v>
      </c>
      <c r="B6" s="47" t="n">
        <f aca="false">AVERAGEIF('Ratios Panel'!$A$5:$A$104,A6,'Ratios Panel'!$J$5:$J$104)</f>
        <v>0.456680519551259</v>
      </c>
      <c r="C6" s="47" t="n">
        <f aca="false">SQRT(SUMPRODUCT(('Ratios Panel'!$A$5:$A$104=A6)*('Ratios Panel'!$J$5:$J$104-B6)^2)/(COUNTIF('Ratios Panel'!$A$5:$A$104,A6)-1))</f>
        <v>0.133006808117797</v>
      </c>
      <c r="D6" s="47" t="n">
        <f aca="false">_xlfn.MINIFS('Ratios Panel'!$J$5:$J$104,'Ratios Panel'!$A$5:$A$104,A6)</f>
        <v>0.321875</v>
      </c>
      <c r="E6" s="47" t="n">
        <f aca="false">_xlfn.MAXIFS('Ratios Panel'!$J$5:$J$104,'Ratios Panel'!$A$5:$A$104,A6)</f>
        <v>0.770304568527919</v>
      </c>
      <c r="F6" s="48" t="n">
        <f aca="false">AVERAGEIF('Ratios Panel'!$A$5:$A$104,A6,'Ratios Panel'!$K$5:$K$104)</f>
        <v>0.175775522181753</v>
      </c>
      <c r="G6" s="48" t="n">
        <f aca="false">AVERAGEIF('Ratios Panel'!$A$5:$A$104,A6,'Ratios Panel'!$L$5:$L$104)</f>
        <v>0.0967096957198923</v>
      </c>
      <c r="H6" s="47" t="n">
        <f aca="false">AVERAGEIF('Ratios Panel'!$A$5:$A$104,A6,'Ratios Panel'!$P$5:$P$104)</f>
        <v>10.749</v>
      </c>
      <c r="I6" s="48" t="n">
        <f aca="false">AVERAGEIF('Ratios Panel'!$A$5:$A$104,A6,'Ratios Panel'!$N$5:$N$104)</f>
        <v>0.0952888078176109</v>
      </c>
      <c r="J6" s="48" t="n">
        <f aca="false">AVERAGEIF('Ratios Panel'!$A$5:$A$104,A6,'Ratios Panel'!$O$5:$O$104)</f>
        <v>0.336488017928929</v>
      </c>
      <c r="K6" s="49" t="n">
        <f aca="false">AVERAGEIF('Ratios Panel'!$A$5:$A$104,A6,'Ratios Panel'!$M$5:$M$104)</f>
        <v>7.67227268285164</v>
      </c>
      <c r="L6" s="47" t="n">
        <f aca="false">AVERAGEIF('Ratios Panel'!$A$5:$A$104,A6,'Ratios Panel'!$Q$5:$Q$104)</f>
        <v>4.00100989658565</v>
      </c>
    </row>
    <row r="7" customFormat="false" ht="15" hidden="false" customHeight="true" outlineLevel="0" collapsed="false">
      <c r="A7" s="21" t="s">
        <v>64</v>
      </c>
      <c r="B7" s="50" t="n">
        <f aca="false">AVERAGEIF('Ratios Panel'!$A$5:$A$104,A7,'Ratios Panel'!$J$5:$J$104)</f>
        <v>0.370714125134678</v>
      </c>
      <c r="C7" s="50" t="n">
        <f aca="false">SQRT(SUMPRODUCT(('Ratios Panel'!$A$5:$A$104=A7)*('Ratios Panel'!$J$5:$J$104-B7)^2)/(COUNTIF('Ratios Panel'!$A$5:$A$104,A7)-1))</f>
        <v>0.179111536751008</v>
      </c>
      <c r="D7" s="50" t="n">
        <f aca="false">_xlfn.MINIFS('Ratios Panel'!$J$5:$J$104,'Ratios Panel'!$A$5:$A$104,A7)</f>
        <v>0.129254541657966</v>
      </c>
      <c r="E7" s="50" t="n">
        <f aca="false">_xlfn.MAXIFS('Ratios Panel'!$J$5:$J$104,'Ratios Panel'!$A$5:$A$104,A7)</f>
        <v>0.703523035230352</v>
      </c>
      <c r="F7" s="51" t="n">
        <f aca="false">AVERAGEIF('Ratios Panel'!$A$5:$A$104,A7,'Ratios Panel'!$K$5:$K$104)</f>
        <v>0.131482965465703</v>
      </c>
      <c r="G7" s="51" t="n">
        <f aca="false">AVERAGEIF('Ratios Panel'!$A$5:$A$104,A7,'Ratios Panel'!$L$5:$L$104)</f>
        <v>0.0852138591417324</v>
      </c>
      <c r="H7" s="50" t="n">
        <f aca="false">AVERAGEIF('Ratios Panel'!$A$5:$A$104,A7,'Ratios Panel'!$P$5:$P$104)</f>
        <v>26.643</v>
      </c>
      <c r="I7" s="51" t="n">
        <f aca="false">AVERAGEIF('Ratios Panel'!$A$5:$A$104,A7,'Ratios Panel'!$N$5:$N$104)</f>
        <v>0.0649183862296443</v>
      </c>
      <c r="J7" s="51" t="n">
        <f aca="false">AVERAGEIF('Ratios Panel'!$A$5:$A$104,A7,'Ratios Panel'!$O$5:$O$104)</f>
        <v>0.367649488759982</v>
      </c>
      <c r="K7" s="52" t="n">
        <f aca="false">AVERAGEIF('Ratios Panel'!$A$5:$A$104,A7,'Ratios Panel'!$M$5:$M$104)</f>
        <v>9.1158840912402</v>
      </c>
      <c r="L7" s="50" t="n">
        <f aca="false">AVERAGEIF('Ratios Panel'!$A$5:$A$104,A7,'Ratios Panel'!$Q$5:$Q$104)</f>
        <v>5.10837072843639</v>
      </c>
    </row>
    <row r="8" customFormat="false" ht="15" hidden="false" customHeight="true" outlineLevel="0" collapsed="false">
      <c r="A8" s="18" t="s">
        <v>65</v>
      </c>
      <c r="B8" s="47" t="n">
        <f aca="false">AVERAGEIF('Ratios Panel'!$A$5:$A$104,A8,'Ratios Panel'!$J$5:$J$104)</f>
        <v>0.710206106122647</v>
      </c>
      <c r="C8" s="47" t="n">
        <f aca="false">SQRT(SUMPRODUCT(('Ratios Panel'!$A$5:$A$104=A8)*('Ratios Panel'!$J$5:$J$104-B8)^2)/(COUNTIF('Ratios Panel'!$A$5:$A$104,A8)-1))</f>
        <v>0.37177203457142</v>
      </c>
      <c r="D8" s="47" t="n">
        <f aca="false">_xlfn.MINIFS('Ratios Panel'!$J$5:$J$104,'Ratios Panel'!$A$5:$A$104,A8)</f>
        <v>0.340281143965099</v>
      </c>
      <c r="E8" s="47" t="n">
        <f aca="false">_xlfn.MAXIFS('Ratios Panel'!$J$5:$J$104,'Ratios Panel'!$A$5:$A$104,A8)</f>
        <v>1.45051759834369</v>
      </c>
      <c r="F8" s="48" t="n">
        <f aca="false">AVERAGEIF('Ratios Panel'!$A$5:$A$104,A8,'Ratios Panel'!$K$5:$K$104)</f>
        <v>0.115567293916415</v>
      </c>
      <c r="G8" s="48" t="n">
        <f aca="false">AVERAGEIF('Ratios Panel'!$A$5:$A$104,A8,'Ratios Panel'!$L$5:$L$104)</f>
        <v>0.0609047177991689</v>
      </c>
      <c r="H8" s="47" t="n">
        <f aca="false">AVERAGEIF('Ratios Panel'!$A$5:$A$104,A8,'Ratios Panel'!$P$5:$P$104)</f>
        <v>0.765</v>
      </c>
      <c r="I8" s="48" t="n">
        <f aca="false">AVERAGEIF('Ratios Panel'!$A$5:$A$104,A8,'Ratios Panel'!$N$5:$N$104)</f>
        <v>0.0780888396195776</v>
      </c>
      <c r="J8" s="48" t="n">
        <f aca="false">AVERAGEIF('Ratios Panel'!$A$5:$A$104,A8,'Ratios Panel'!$O$5:$O$104)</f>
        <v>0.658903521350001</v>
      </c>
      <c r="K8" s="49" t="n">
        <f aca="false">AVERAGEIF('Ratios Panel'!$A$5:$A$104,A8,'Ratios Panel'!$M$5:$M$104)</f>
        <v>8.76292351410794</v>
      </c>
      <c r="L8" s="47" t="n">
        <f aca="false">AVERAGEIF('Ratios Panel'!$A$5:$A$104,A8,'Ratios Panel'!$Q$5:$Q$104)</f>
        <v>2.60190522015904</v>
      </c>
    </row>
    <row r="9" customFormat="false" ht="15" hidden="false" customHeight="true" outlineLevel="0" collapsed="false">
      <c r="A9" s="21" t="s">
        <v>66</v>
      </c>
      <c r="B9" s="50" t="n">
        <f aca="false">AVERAGEIF('Ratios Panel'!$A$5:$A$104,A9,'Ratios Panel'!$J$5:$J$104)</f>
        <v>0.695078732479798</v>
      </c>
      <c r="C9" s="50" t="n">
        <f aca="false">SQRT(SUMPRODUCT(('Ratios Panel'!$A$5:$A$104=A9)*('Ratios Panel'!$J$5:$J$104-B9)^2)/(COUNTIF('Ratios Panel'!$A$5:$A$104,A9)-1))</f>
        <v>0.233777965736731</v>
      </c>
      <c r="D9" s="50" t="n">
        <f aca="false">_xlfn.MINIFS('Ratios Panel'!$J$5:$J$104,'Ratios Panel'!$A$5:$A$104,A9)</f>
        <v>0.379637618636756</v>
      </c>
      <c r="E9" s="50" t="n">
        <f aca="false">_xlfn.MAXIFS('Ratios Panel'!$J$5:$J$104,'Ratios Panel'!$A$5:$A$104,A9)</f>
        <v>1.04588077695914</v>
      </c>
      <c r="F9" s="51" t="n">
        <f aca="false">AVERAGEIF('Ratios Panel'!$A$5:$A$104,A9,'Ratios Panel'!$K$5:$K$104)</f>
        <v>0.0634290950722227</v>
      </c>
      <c r="G9" s="51" t="n">
        <f aca="false">AVERAGEIF('Ratios Panel'!$A$5:$A$104,A9,'Ratios Panel'!$L$5:$L$104)</f>
        <v>0.0292024859420398</v>
      </c>
      <c r="H9" s="50" t="n">
        <f aca="false">AVERAGEIF('Ratios Panel'!$A$5:$A$104,A9,'Ratios Panel'!$P$5:$P$104)</f>
        <v>7.706</v>
      </c>
      <c r="I9" s="51" t="n">
        <f aca="false">AVERAGEIF('Ratios Panel'!$A$5:$A$104,A9,'Ratios Panel'!$N$5:$N$104)</f>
        <v>0.0412090645746155</v>
      </c>
      <c r="J9" s="51" t="n">
        <f aca="false">AVERAGEIF('Ratios Panel'!$A$5:$A$104,A9,'Ratios Panel'!$O$5:$O$104)</f>
        <v>0.478467000684093</v>
      </c>
      <c r="K9" s="52" t="n">
        <f aca="false">AVERAGEIF('Ratios Panel'!$A$5:$A$104,A9,'Ratios Panel'!$M$5:$M$104)</f>
        <v>8.83517996106123</v>
      </c>
      <c r="L9" s="50" t="n">
        <f aca="false">AVERAGEIF('Ratios Panel'!$A$5:$A$104,A9,'Ratios Panel'!$Q$5:$Q$104)</f>
        <v>1.97384325811003</v>
      </c>
    </row>
    <row r="10" customFormat="false" ht="15" hidden="false" customHeight="true" outlineLevel="0" collapsed="false">
      <c r="A10" s="18" t="s">
        <v>67</v>
      </c>
      <c r="B10" s="47" t="n">
        <f aca="false">AVERAGEIF('Ratios Panel'!$A$5:$A$104,A10,'Ratios Panel'!$J$5:$J$104)</f>
        <v>1.43311476526879</v>
      </c>
      <c r="C10" s="47" t="n">
        <f aca="false">SQRT(SUMPRODUCT(('Ratios Panel'!$A$5:$A$104=A10)*('Ratios Panel'!$J$5:$J$104-B10)^2)/(COUNTIF('Ratios Panel'!$A$5:$A$104,A10)-1))</f>
        <v>0.514866843330785</v>
      </c>
      <c r="D10" s="47" t="n">
        <f aca="false">_xlfn.MINIFS('Ratios Panel'!$J$5:$J$104,'Ratios Panel'!$A$5:$A$104,A10)</f>
        <v>0.786529680365297</v>
      </c>
      <c r="E10" s="47" t="n">
        <f aca="false">_xlfn.MAXIFS('Ratios Panel'!$J$5:$J$104,'Ratios Panel'!$A$5:$A$104,A10)</f>
        <v>2.15151515151515</v>
      </c>
      <c r="F10" s="48" t="n">
        <f aca="false">AVERAGEIF('Ratios Panel'!$A$5:$A$104,A10,'Ratios Panel'!$K$5:$K$104)</f>
        <v>0.163928747678808</v>
      </c>
      <c r="G10" s="48" t="n">
        <f aca="false">AVERAGEIF('Ratios Panel'!$A$5:$A$104,A10,'Ratios Panel'!$L$5:$L$104)</f>
        <v>0.0655757692441821</v>
      </c>
      <c r="H10" s="47" t="n">
        <f aca="false">AVERAGEIF('Ratios Panel'!$A$5:$A$104,A10,'Ratios Panel'!$P$5:$P$104)</f>
        <v>20.138</v>
      </c>
      <c r="I10" s="48" t="n">
        <f aca="false">AVERAGEIF('Ratios Panel'!$A$5:$A$104,A10,'Ratios Panel'!$N$5:$N$104)</f>
        <v>0.195567496804492</v>
      </c>
      <c r="J10" s="48" t="n">
        <f aca="false">AVERAGEIF('Ratios Panel'!$A$5:$A$104,A10,'Ratios Panel'!$O$5:$O$104)</f>
        <v>0.63298045388299</v>
      </c>
      <c r="K10" s="49" t="n">
        <f aca="false">AVERAGEIF('Ratios Panel'!$A$5:$A$104,A10,'Ratios Panel'!$M$5:$M$104)</f>
        <v>7.32058202452258</v>
      </c>
      <c r="L10" s="47" t="n">
        <f aca="false">AVERAGEIF('Ratios Panel'!$A$5:$A$104,A10,'Ratios Panel'!$Q$5:$Q$104)</f>
        <v>4.33547102813687</v>
      </c>
    </row>
    <row r="11" customFormat="false" ht="15" hidden="false" customHeight="true" outlineLevel="0" collapsed="false">
      <c r="A11" s="21" t="s">
        <v>68</v>
      </c>
      <c r="B11" s="50" t="n">
        <f aca="false">AVERAGEIF('Ratios Panel'!$A$5:$A$104,A11,'Ratios Panel'!$J$5:$J$104)</f>
        <v>0.987958986136188</v>
      </c>
      <c r="C11" s="50" t="n">
        <f aca="false">SQRT(SUMPRODUCT(('Ratios Panel'!$A$5:$A$104=A11)*('Ratios Panel'!$J$5:$J$104-B11)^2)/(COUNTIF('Ratios Panel'!$A$5:$A$104,A11)-1))</f>
        <v>0.158697095602807</v>
      </c>
      <c r="D11" s="50" t="n">
        <f aca="false">_xlfn.MINIFS('Ratios Panel'!$J$5:$J$104,'Ratios Panel'!$A$5:$A$104,A11)</f>
        <v>0.830088495575221</v>
      </c>
      <c r="E11" s="50" t="n">
        <f aca="false">_xlfn.MAXIFS('Ratios Panel'!$J$5:$J$104,'Ratios Panel'!$A$5:$A$104,A11)</f>
        <v>1.26960784313725</v>
      </c>
      <c r="F11" s="51" t="n">
        <f aca="false">AVERAGEIF('Ratios Panel'!$A$5:$A$104,A11,'Ratios Panel'!$K$5:$K$104)</f>
        <v>0.0571023189631033</v>
      </c>
      <c r="G11" s="51" t="n">
        <f aca="false">AVERAGEIF('Ratios Panel'!$A$5:$A$104,A11,'Ratios Panel'!$L$5:$L$104)</f>
        <v>0.0234932550414562</v>
      </c>
      <c r="H11" s="50" t="n">
        <f aca="false">AVERAGEIF('Ratios Panel'!$A$5:$A$104,A11,'Ratios Panel'!$P$5:$P$104)</f>
        <v>2.963</v>
      </c>
      <c r="I11" s="51" t="n">
        <f aca="false">AVERAGEIF('Ratios Panel'!$A$5:$A$104,A11,'Ratios Panel'!$N$5:$N$104)</f>
        <v>0.0542854224797531</v>
      </c>
      <c r="J11" s="51" t="n">
        <f aca="false">AVERAGEIF('Ratios Panel'!$A$5:$A$104,A11,'Ratios Panel'!$O$5:$O$104)</f>
        <v>0.519188400329838</v>
      </c>
      <c r="K11" s="52" t="n">
        <f aca="false">AVERAGEIF('Ratios Panel'!$A$5:$A$104,A11,'Ratios Panel'!$M$5:$M$104)</f>
        <v>7.65929969713598</v>
      </c>
      <c r="L11" s="50" t="n">
        <f aca="false">AVERAGEIF('Ratios Panel'!$A$5:$A$104,A11,'Ratios Panel'!$Q$5:$Q$104)</f>
        <v>3.70687791073033</v>
      </c>
    </row>
    <row r="12" customFormat="false" ht="15" hidden="false" customHeight="true" outlineLevel="0" collapsed="false">
      <c r="A12" s="18" t="s">
        <v>69</v>
      </c>
      <c r="B12" s="47" t="n">
        <f aca="false">AVERAGEIF('Ratios Panel'!$A$5:$A$104,A12,'Ratios Panel'!$J$5:$J$104)</f>
        <v>1.39871951692194</v>
      </c>
      <c r="C12" s="47" t="n">
        <f aca="false">SQRT(SUMPRODUCT(('Ratios Panel'!$A$5:$A$104=A12)*('Ratios Panel'!$J$5:$J$104-B12)^2)/(COUNTIF('Ratios Panel'!$A$5:$A$104,A12)-1))</f>
        <v>1.22796384234325</v>
      </c>
      <c r="D12" s="47" t="n">
        <f aca="false">_xlfn.MINIFS('Ratios Panel'!$J$5:$J$104,'Ratios Panel'!$A$5:$A$104,A12)</f>
        <v>0.0895104895104895</v>
      </c>
      <c r="E12" s="47" t="n">
        <f aca="false">_xlfn.MAXIFS('Ratios Panel'!$J$5:$J$104,'Ratios Panel'!$A$5:$A$104,A12)</f>
        <v>3.63076923076923</v>
      </c>
      <c r="F12" s="48" t="n">
        <f aca="false">AVERAGEIF('Ratios Panel'!$A$5:$A$104,A12,'Ratios Panel'!$K$5:$K$104)</f>
        <v>0.0684570215211522</v>
      </c>
      <c r="G12" s="48" t="n">
        <f aca="false">AVERAGEIF('Ratios Panel'!$A$5:$A$104,A12,'Ratios Panel'!$L$5:$L$104)</f>
        <v>0.0459688412074482</v>
      </c>
      <c r="H12" s="47" t="n">
        <f aca="false">AVERAGEIF('Ratios Panel'!$A$5:$A$104,A12,'Ratios Panel'!$P$5:$P$104)</f>
        <v>11.696</v>
      </c>
      <c r="I12" s="48" t="n">
        <f aca="false">AVERAGEIF('Ratios Panel'!$A$5:$A$104,A12,'Ratios Panel'!$N$5:$N$104)</f>
        <v>0.102114166117092</v>
      </c>
      <c r="J12" s="48" t="n">
        <f aca="false">AVERAGEIF('Ratios Panel'!$A$5:$A$104,A12,'Ratios Panel'!$O$5:$O$104)</f>
        <v>0.156990586994855</v>
      </c>
      <c r="K12" s="49" t="n">
        <f aca="false">AVERAGEIF('Ratios Panel'!$A$5:$A$104,A12,'Ratios Panel'!$M$5:$M$104)</f>
        <v>7.02272441880897</v>
      </c>
      <c r="L12" s="47" t="n">
        <f aca="false">AVERAGEIF('Ratios Panel'!$A$5:$A$104,A12,'Ratios Panel'!$Q$5:$Q$104)</f>
        <v>3.24430961557589</v>
      </c>
    </row>
    <row r="13" customFormat="false" ht="15" hidden="false" customHeight="true" outlineLevel="0" collapsed="false">
      <c r="A13" s="21" t="s">
        <v>70</v>
      </c>
      <c r="B13" s="50" t="n">
        <f aca="false">AVERAGEIF('Ratios Panel'!$A$5:$A$104,A13,'Ratios Panel'!$J$5:$J$104)</f>
        <v>0.422497351793515</v>
      </c>
      <c r="C13" s="50" t="n">
        <f aca="false">SQRT(SUMPRODUCT(('Ratios Panel'!$A$5:$A$104=A13)*('Ratios Panel'!$J$5:$J$104-B13)^2)/(COUNTIF('Ratios Panel'!$A$5:$A$104,A13)-1))</f>
        <v>0.273018067097491</v>
      </c>
      <c r="D13" s="50" t="n">
        <f aca="false">_xlfn.MINIFS('Ratios Panel'!$J$5:$J$104,'Ratios Panel'!$A$5:$A$104,A13)</f>
        <v>0.142857142857143</v>
      </c>
      <c r="E13" s="50" t="n">
        <f aca="false">_xlfn.MAXIFS('Ratios Panel'!$J$5:$J$104,'Ratios Panel'!$A$5:$A$104,A13)</f>
        <v>0.845132743362832</v>
      </c>
      <c r="F13" s="51" t="n">
        <f aca="false">AVERAGEIF('Ratios Panel'!$A$5:$A$104,A13,'Ratios Panel'!$K$5:$K$104)</f>
        <v>0.148245950167086</v>
      </c>
      <c r="G13" s="51" t="n">
        <f aca="false">AVERAGEIF('Ratios Panel'!$A$5:$A$104,A13,'Ratios Panel'!$L$5:$L$104)</f>
        <v>0.0854619382746514</v>
      </c>
      <c r="H13" s="50" t="n">
        <f aca="false">AVERAGEIF('Ratios Panel'!$A$5:$A$104,A13,'Ratios Panel'!$P$5:$P$104)</f>
        <v>28.274</v>
      </c>
      <c r="I13" s="51" t="n">
        <f aca="false">AVERAGEIF('Ratios Panel'!$A$5:$A$104,A13,'Ratios Panel'!$N$5:$N$104)</f>
        <v>0.0699137051724149</v>
      </c>
      <c r="J13" s="51" t="n">
        <f aca="false">AVERAGEIF('Ratios Panel'!$A$5:$A$104,A13,'Ratios Panel'!$O$5:$O$104)</f>
        <v>0.342745436156576</v>
      </c>
      <c r="K13" s="52" t="n">
        <f aca="false">AVERAGEIF('Ratios Panel'!$A$5:$A$104,A13,'Ratios Panel'!$M$5:$M$104)</f>
        <v>7.28781110752553</v>
      </c>
      <c r="L13" s="50" t="n">
        <f aca="false">AVERAGEIF('Ratios Panel'!$A$5:$A$104,A13,'Ratios Panel'!$Q$5:$Q$104)</f>
        <v>2.98162423523214</v>
      </c>
    </row>
    <row r="14" customFormat="false" ht="15" hidden="false" customHeight="true" outlineLevel="0" collapsed="false">
      <c r="A14" s="36" t="s">
        <v>192</v>
      </c>
      <c r="B14" s="38" t="n">
        <f aca="false">AVERAGE('Ratios Panel'!$J$5:$J$104)</f>
        <v>0.752451347969168</v>
      </c>
      <c r="C14" s="38" t="n">
        <f aca="false">STDEV('Ratios Panel'!$J$5:$J$104)</f>
        <v>0.60097433542597</v>
      </c>
      <c r="D14" s="38" t="n">
        <f aca="false">MIN('Ratios Panel'!$J$5:$J$104)</f>
        <v>0.0625</v>
      </c>
      <c r="E14" s="38" t="n">
        <f aca="false">MAX('Ratios Panel'!$J$5:$J$104)</f>
        <v>3.63076923076923</v>
      </c>
      <c r="F14" s="39" t="n">
        <f aca="false">AVERAGE('Ratios Panel'!$K$5:$K$104)</f>
        <v>0.126478921204533</v>
      </c>
      <c r="G14" s="39" t="n">
        <f aca="false">AVERAGE('Ratios Panel'!$L$5:$L$104)</f>
        <v>0.0699756433427535</v>
      </c>
      <c r="H14" s="38" t="n">
        <f aca="false">AVERAGE('Ratios Panel'!$P$5:$P$104)</f>
        <v>12.5072</v>
      </c>
      <c r="I14" s="39" t="n">
        <f aca="false">AVERAGE('Ratios Panel'!$N$5:$N$104)</f>
        <v>0.0859055529216248</v>
      </c>
      <c r="J14" s="39" t="n">
        <f aca="false">AVERAGE('Ratios Panel'!$O$5:$O$104)</f>
        <v>0.426620912522251</v>
      </c>
      <c r="K14" s="40" t="n">
        <f aca="false">AVERAGE('Ratios Panel'!$M$5:$M$104)</f>
        <v>8.03295539262901</v>
      </c>
      <c r="L14" s="38" t="n">
        <f aca="false">AVERAGE('Ratios Panel'!$Q$5:$Q$104)</f>
        <v>3.54326754278672</v>
      </c>
    </row>
    <row r="16" customFormat="false" ht="15" hidden="false" customHeight="true" outlineLevel="0" collapsed="false">
      <c r="A16" s="27" t="s">
        <v>193</v>
      </c>
    </row>
    <row r="17" customFormat="false" ht="15" hidden="false" customHeight="true" outlineLevel="0" collapsed="false">
      <c r="A17" s="53" t="s">
        <v>88</v>
      </c>
      <c r="B17" s="53" t="s">
        <v>181</v>
      </c>
      <c r="C17" s="53" t="s">
        <v>182</v>
      </c>
      <c r="D17" s="53" t="s">
        <v>185</v>
      </c>
      <c r="E17" s="53" t="s">
        <v>186</v>
      </c>
      <c r="F17" s="53" t="s">
        <v>187</v>
      </c>
    </row>
    <row r="18" customFormat="false" ht="15" hidden="false" customHeight="true" outlineLevel="0" collapsed="false">
      <c r="A18" s="18" t="s">
        <v>99</v>
      </c>
      <c r="B18" s="47" t="n">
        <f aca="false">AVERAGEIF('Ratios Panel'!$B$5:$B$104,A18,'Ratios Panel'!$J$5:$J$104)</f>
        <v>1.10173813781402</v>
      </c>
      <c r="C18" s="47" t="n">
        <f aca="false">SQRT(SUMPRODUCT(('Ratios Panel'!$B$5:$B$104=A18)*('Ratios Panel'!$J$5:$J$104-B18)^2)/(COUNTIF('Ratios Panel'!$B$5:$B$104,A18)-1))</f>
        <v>0.424665176167706</v>
      </c>
      <c r="D18" s="48" t="n">
        <f aca="false">AVERAGEIF('Ratios Panel'!$B$5:$B$104,A18,'Ratios Panel'!$K$5:$K$104)</f>
        <v>0.215612107794847</v>
      </c>
      <c r="E18" s="48" t="n">
        <f aca="false">AVERAGEIF('Ratios Panel'!$B$5:$B$104,A18,'Ratios Panel'!$L$5:$L$104)</f>
        <v>0.0885519850886573</v>
      </c>
      <c r="F18" s="47" t="n">
        <f aca="false">AVERAGEIF('Ratios Panel'!$B$5:$B$104,A18,'Ratios Panel'!$P$5:$P$104)</f>
        <v>11.054</v>
      </c>
    </row>
    <row r="19" customFormat="false" ht="15" hidden="false" customHeight="true" outlineLevel="0" collapsed="false">
      <c r="A19" s="21" t="s">
        <v>100</v>
      </c>
      <c r="B19" s="50" t="n">
        <f aca="false">AVERAGEIF('Ratios Panel'!$B$5:$B$104,A19,'Ratios Panel'!$J$5:$J$104)</f>
        <v>1.12153081081723</v>
      </c>
      <c r="C19" s="50" t="n">
        <f aca="false">SQRT(SUMPRODUCT(('Ratios Panel'!$B$5:$B$104=A19)*('Ratios Panel'!$J$5:$J$104-B19)^2)/(COUNTIF('Ratios Panel'!$B$5:$B$104,A19)-1))</f>
        <v>0.821198365188055</v>
      </c>
      <c r="D19" s="51" t="n">
        <f aca="false">AVERAGEIF('Ratios Panel'!$B$5:$B$104,A19,'Ratios Panel'!$K$5:$K$104)</f>
        <v>0.12931842293965</v>
      </c>
      <c r="E19" s="51" t="n">
        <f aca="false">AVERAGEIF('Ratios Panel'!$B$5:$B$104,A19,'Ratios Panel'!$L$5:$L$104)</f>
        <v>0.0703666165775638</v>
      </c>
      <c r="F19" s="50" t="n">
        <f aca="false">AVERAGEIF('Ratios Panel'!$B$5:$B$104,A19,'Ratios Panel'!$P$5:$P$104)</f>
        <v>8.563</v>
      </c>
    </row>
    <row r="20" customFormat="false" ht="15" hidden="false" customHeight="true" outlineLevel="0" collapsed="false">
      <c r="A20" s="18" t="s">
        <v>101</v>
      </c>
      <c r="B20" s="47" t="n">
        <f aca="false">AVERAGEIF('Ratios Panel'!$B$5:$B$104,A20,'Ratios Panel'!$J$5:$J$104)</f>
        <v>1.08250747307505</v>
      </c>
      <c r="C20" s="47" t="n">
        <f aca="false">SQRT(SUMPRODUCT(('Ratios Panel'!$B$5:$B$104=A20)*('Ratios Panel'!$J$5:$J$104-B20)^2)/(COUNTIF('Ratios Panel'!$B$5:$B$104,A20)-1))</f>
        <v>0.950485471320681</v>
      </c>
      <c r="D20" s="48" t="n">
        <f aca="false">AVERAGEIF('Ratios Panel'!$B$5:$B$104,A20,'Ratios Panel'!$K$5:$K$104)</f>
        <v>0.0905007498726895</v>
      </c>
      <c r="E20" s="48" t="n">
        <f aca="false">AVERAGEIF('Ratios Panel'!$B$5:$B$104,A20,'Ratios Panel'!$L$5:$L$104)</f>
        <v>0.0535594127536674</v>
      </c>
      <c r="F20" s="47" t="n">
        <f aca="false">AVERAGEIF('Ratios Panel'!$B$5:$B$104,A20,'Ratios Panel'!$P$5:$P$104)</f>
        <v>7.627</v>
      </c>
    </row>
    <row r="21" customFormat="false" ht="15" hidden="false" customHeight="true" outlineLevel="0" collapsed="false">
      <c r="A21" s="21" t="s">
        <v>102</v>
      </c>
      <c r="B21" s="50" t="n">
        <f aca="false">AVERAGEIF('Ratios Panel'!$B$5:$B$104,A21,'Ratios Panel'!$J$5:$J$104)</f>
        <v>0.890316556035072</v>
      </c>
      <c r="C21" s="50" t="n">
        <f aca="false">SQRT(SUMPRODUCT(('Ratios Panel'!$B$5:$B$104=A21)*('Ratios Panel'!$J$5:$J$104-B21)^2)/(COUNTIF('Ratios Panel'!$B$5:$B$104,A21)-1))</f>
        <v>0.490017510162969</v>
      </c>
      <c r="D21" s="51" t="n">
        <f aca="false">AVERAGEIF('Ratios Panel'!$B$5:$B$104,A21,'Ratios Panel'!$K$5:$K$104)</f>
        <v>0.108455605391037</v>
      </c>
      <c r="E21" s="51" t="n">
        <f aca="false">AVERAGEIF('Ratios Panel'!$B$5:$B$104,A21,'Ratios Panel'!$L$5:$L$104)</f>
        <v>0.0527818714038622</v>
      </c>
      <c r="F21" s="50" t="n">
        <f aca="false">AVERAGEIF('Ratios Panel'!$B$5:$B$104,A21,'Ratios Panel'!$P$5:$P$104)</f>
        <v>8.801</v>
      </c>
    </row>
    <row r="22" customFormat="false" ht="15" hidden="false" customHeight="true" outlineLevel="0" collapsed="false">
      <c r="A22" s="18" t="s">
        <v>103</v>
      </c>
      <c r="B22" s="47" t="n">
        <f aca="false">AVERAGEIF('Ratios Panel'!$B$5:$B$104,A22,'Ratios Panel'!$J$5:$J$104)</f>
        <v>0.887987629615256</v>
      </c>
      <c r="C22" s="47" t="n">
        <f aca="false">SQRT(SUMPRODUCT(('Ratios Panel'!$B$5:$B$104=A22)*('Ratios Panel'!$J$5:$J$104-B22)^2)/(COUNTIF('Ratios Panel'!$B$5:$B$104,A22)-1))</f>
        <v>0.631691126833347</v>
      </c>
      <c r="D22" s="48" t="n">
        <f aca="false">AVERAGEIF('Ratios Panel'!$B$5:$B$104,A22,'Ratios Panel'!$K$5:$K$104)</f>
        <v>0.103273106312574</v>
      </c>
      <c r="E22" s="48" t="n">
        <f aca="false">AVERAGEIF('Ratios Panel'!$B$5:$B$104,A22,'Ratios Panel'!$L$5:$L$104)</f>
        <v>0.0516769974227511</v>
      </c>
      <c r="F22" s="47" t="n">
        <f aca="false">AVERAGEIF('Ratios Panel'!$B$5:$B$104,A22,'Ratios Panel'!$P$5:$P$104)</f>
        <v>7.259</v>
      </c>
    </row>
    <row r="23" customFormat="false" ht="15" hidden="false" customHeight="true" outlineLevel="0" collapsed="false">
      <c r="A23" s="21" t="s">
        <v>104</v>
      </c>
      <c r="B23" s="50" t="n">
        <f aca="false">AVERAGEIF('Ratios Panel'!$B$5:$B$104,A23,'Ratios Panel'!$J$5:$J$104)</f>
        <v>0.69535496695387</v>
      </c>
      <c r="C23" s="50" t="n">
        <f aca="false">SQRT(SUMPRODUCT(('Ratios Panel'!$B$5:$B$104=A23)*('Ratios Panel'!$J$5:$J$104-B23)^2)/(COUNTIF('Ratios Panel'!$B$5:$B$104,A23)-1))</f>
        <v>0.560264499741422</v>
      </c>
      <c r="D23" s="51" t="n">
        <f aca="false">AVERAGEIF('Ratios Panel'!$B$5:$B$104,A23,'Ratios Panel'!$K$5:$K$104)</f>
        <v>0.101342151751616</v>
      </c>
      <c r="E23" s="51" t="n">
        <f aca="false">AVERAGEIF('Ratios Panel'!$B$5:$B$104,A23,'Ratios Panel'!$L$5:$L$104)</f>
        <v>0.0566872626575824</v>
      </c>
      <c r="F23" s="50" t="n">
        <f aca="false">AVERAGEIF('Ratios Panel'!$B$5:$B$104,A23,'Ratios Panel'!$P$5:$P$104)</f>
        <v>6.808</v>
      </c>
    </row>
    <row r="24" customFormat="false" ht="15" hidden="false" customHeight="true" outlineLevel="0" collapsed="false">
      <c r="A24" s="18" t="s">
        <v>105</v>
      </c>
      <c r="B24" s="47" t="n">
        <f aca="false">AVERAGEIF('Ratios Panel'!$B$5:$B$104,A24,'Ratios Panel'!$J$5:$J$104)</f>
        <v>0.470722596036261</v>
      </c>
      <c r="C24" s="47" t="n">
        <f aca="false">SQRT(SUMPRODUCT(('Ratios Panel'!$B$5:$B$104=A24)*('Ratios Panel'!$J$5:$J$104-B24)^2)/(COUNTIF('Ratios Panel'!$B$5:$B$104,A24)-1))</f>
        <v>0.25375463314015</v>
      </c>
      <c r="D24" s="48" t="n">
        <f aca="false">AVERAGEIF('Ratios Panel'!$B$5:$B$104,A24,'Ratios Panel'!$K$5:$K$104)</f>
        <v>0.196480268398602</v>
      </c>
      <c r="E24" s="48" t="n">
        <f aca="false">AVERAGEIF('Ratios Panel'!$B$5:$B$104,A24,'Ratios Panel'!$L$5:$L$104)</f>
        <v>0.11625427025131</v>
      </c>
      <c r="F24" s="47" t="n">
        <f aca="false">AVERAGEIF('Ratios Panel'!$B$5:$B$104,A24,'Ratios Panel'!$P$5:$P$104)</f>
        <v>23.689</v>
      </c>
    </row>
    <row r="25" customFormat="false" ht="15" hidden="false" customHeight="true" outlineLevel="0" collapsed="false">
      <c r="A25" s="21" t="s">
        <v>106</v>
      </c>
      <c r="B25" s="50" t="n">
        <f aca="false">AVERAGEIF('Ratios Panel'!$B$5:$B$104,A25,'Ratios Panel'!$J$5:$J$104)</f>
        <v>0.42263928362948</v>
      </c>
      <c r="C25" s="50" t="n">
        <f aca="false">SQRT(SUMPRODUCT(('Ratios Panel'!$B$5:$B$104=A25)*('Ratios Panel'!$J$5:$J$104-B25)^2)/(COUNTIF('Ratios Panel'!$B$5:$B$104,A25)-1))</f>
        <v>0.284604615349165</v>
      </c>
      <c r="D25" s="51" t="n">
        <f aca="false">AVERAGEIF('Ratios Panel'!$B$5:$B$104,A25,'Ratios Panel'!$K$5:$K$104)</f>
        <v>0.128307079103345</v>
      </c>
      <c r="E25" s="51" t="n">
        <f aca="false">AVERAGEIF('Ratios Panel'!$B$5:$B$104,A25,'Ratios Panel'!$L$5:$L$104)</f>
        <v>0.0817570647638723</v>
      </c>
      <c r="F25" s="50" t="n">
        <f aca="false">AVERAGEIF('Ratios Panel'!$B$5:$B$104,A25,'Ratios Panel'!$P$5:$P$104)</f>
        <v>18.569</v>
      </c>
    </row>
    <row r="26" customFormat="false" ht="15" hidden="false" customHeight="true" outlineLevel="0" collapsed="false">
      <c r="A26" s="18" t="s">
        <v>107</v>
      </c>
      <c r="B26" s="47" t="n">
        <f aca="false">AVERAGEIF('Ratios Panel'!$B$5:$B$104,A26,'Ratios Panel'!$J$5:$J$104)</f>
        <v>0.449349950829286</v>
      </c>
      <c r="C26" s="47" t="n">
        <f aca="false">SQRT(SUMPRODUCT(('Ratios Panel'!$B$5:$B$104=A26)*('Ratios Panel'!$J$5:$J$104-B26)^2)/(COUNTIF('Ratios Panel'!$B$5:$B$104,A26)-1))</f>
        <v>0.339138511330641</v>
      </c>
      <c r="D26" s="48" t="n">
        <f aca="false">AVERAGEIF('Ratios Panel'!$B$5:$B$104,A26,'Ratios Panel'!$K$5:$K$104)</f>
        <v>0.0988524798719714</v>
      </c>
      <c r="E26" s="48" t="n">
        <f aca="false">AVERAGEIF('Ratios Panel'!$B$5:$B$104,A26,'Ratios Panel'!$L$5:$L$104)</f>
        <v>0.0645926924216604</v>
      </c>
      <c r="F26" s="47" t="n">
        <f aca="false">AVERAGEIF('Ratios Panel'!$B$5:$B$104,A26,'Ratios Panel'!$P$5:$P$104)</f>
        <v>15.372</v>
      </c>
    </row>
    <row r="27" customFormat="false" ht="15" hidden="false" customHeight="true" outlineLevel="0" collapsed="false">
      <c r="A27" s="21" t="s">
        <v>108</v>
      </c>
      <c r="B27" s="50" t="n">
        <f aca="false">AVERAGEIF('Ratios Panel'!$B$5:$B$104,A27,'Ratios Panel'!$J$5:$J$104)</f>
        <v>0.402366074886156</v>
      </c>
      <c r="C27" s="50" t="n">
        <f aca="false">SQRT(SUMPRODUCT(('Ratios Panel'!$B$5:$B$104=A27)*('Ratios Panel'!$J$5:$J$104-B27)^2)/(COUNTIF('Ratios Panel'!$B$5:$B$104,A27)-1))</f>
        <v>0.317608330831837</v>
      </c>
      <c r="D27" s="51" t="n">
        <f aca="false">AVERAGEIF('Ratios Panel'!$B$5:$B$104,A27,'Ratios Panel'!$K$5:$K$104)</f>
        <v>0.0926472406090012</v>
      </c>
      <c r="E27" s="51" t="n">
        <f aca="false">AVERAGEIF('Ratios Panel'!$B$5:$B$104,A27,'Ratios Panel'!$L$5:$L$104)</f>
        <v>0.0635282600866078</v>
      </c>
      <c r="F27" s="50" t="n">
        <f aca="false">AVERAGEIF('Ratios Panel'!$B$5:$B$104,A27,'Ratios Panel'!$P$5:$P$104)</f>
        <v>17.33</v>
      </c>
    </row>
  </sheetData>
  <mergeCells count="1">
    <mergeCell ref="A1:L1"/>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4" width="15"/>
    <col collapsed="false" customWidth="true" hidden="false" outlineLevel="0" max="5" min="2" style="14" width="10"/>
    <col collapsed="false" customWidth="true" hidden="false" outlineLevel="0" max="6" min="6" style="14" width="14"/>
    <col collapsed="false" customWidth="true" hidden="false" outlineLevel="0" max="7" min="7" style="14" width="13"/>
    <col collapsed="false" customWidth="true" hidden="false" outlineLevel="0" max="8" min="8" style="14" width="12"/>
    <col collapsed="false" customWidth="true" hidden="false" outlineLevel="0" max="9" min="9" style="0" width="12"/>
  </cols>
  <sheetData>
    <row r="1" customFormat="false" ht="17.25" hidden="false" customHeight="true" outlineLevel="0" collapsed="false">
      <c r="A1" s="15" t="s">
        <v>194</v>
      </c>
      <c r="B1" s="15"/>
      <c r="C1" s="15"/>
      <c r="D1" s="15"/>
      <c r="E1" s="15"/>
      <c r="F1" s="15"/>
      <c r="G1" s="15"/>
      <c r="H1" s="15"/>
      <c r="I1" s="15"/>
    </row>
    <row r="3" customFormat="false" ht="15" hidden="false" customHeight="true" outlineLevel="0" collapsed="false">
      <c r="A3" s="54"/>
      <c r="B3" s="17" t="s">
        <v>195</v>
      </c>
      <c r="C3" s="17" t="s">
        <v>93</v>
      </c>
      <c r="D3" s="17" t="s">
        <v>94</v>
      </c>
      <c r="E3" s="17" t="s">
        <v>196</v>
      </c>
      <c r="F3" s="17" t="s">
        <v>95</v>
      </c>
      <c r="G3" s="17" t="s">
        <v>197</v>
      </c>
      <c r="H3" s="17" t="s">
        <v>97</v>
      </c>
      <c r="I3" s="17" t="s">
        <v>198</v>
      </c>
    </row>
    <row r="4" customFormat="false" ht="15" hidden="false" customHeight="true" outlineLevel="0" collapsed="false">
      <c r="A4" s="55" t="s">
        <v>195</v>
      </c>
      <c r="B4" s="56" t="n">
        <f aca="false">CORREL('Ratios Panel'!$J$5:$J$104,'Ratios Panel'!$J$5:$J$104)</f>
        <v>1</v>
      </c>
      <c r="C4" s="57" t="n">
        <f aca="false">CORREL('Ratios Panel'!$J$5:$J$104,'Ratios Panel'!$K$5:$K$104)</f>
        <v>-0.361342745431293</v>
      </c>
      <c r="D4" s="57" t="n">
        <f aca="false">CORREL('Ratios Panel'!$J$5:$J$104,'Ratios Panel'!$L$5:$L$104)</f>
        <v>-0.510526704274295</v>
      </c>
      <c r="E4" s="57" t="n">
        <f aca="false">CORREL('Ratios Panel'!$J$5:$J$104,'Ratios Panel'!$P$5:$P$104)</f>
        <v>-0.38517443627218</v>
      </c>
      <c r="F4" s="57" t="n">
        <f aca="false">CORREL('Ratios Panel'!$J$5:$J$104,'Ratios Panel'!$M$5:$M$104)</f>
        <v>-0.403698504647419</v>
      </c>
      <c r="G4" s="57" t="n">
        <f aca="false">CORREL('Ratios Panel'!$J$5:$J$104,'Ratios Panel'!$N$5:$N$104)</f>
        <v>-0.0256960224906581</v>
      </c>
      <c r="H4" s="57" t="n">
        <f aca="false">CORREL('Ratios Panel'!$J$5:$J$104,'Ratios Panel'!$O$5:$O$104)</f>
        <v>0.147773904285839</v>
      </c>
      <c r="I4" s="57" t="n">
        <f aca="false">CORREL('Ratios Panel'!$J$5:$J$104,'Ratios Panel'!$Q$5:$Q$104)</f>
        <v>-0.050189744367466</v>
      </c>
    </row>
    <row r="5" customFormat="false" ht="15" hidden="false" customHeight="true" outlineLevel="0" collapsed="false">
      <c r="A5" s="55" t="s">
        <v>93</v>
      </c>
      <c r="B5" s="57" t="n">
        <f aca="false">CORREL('Ratios Panel'!$K$5:$K$104,'Ratios Panel'!$J$5:$J$104)</f>
        <v>-0.361342745431293</v>
      </c>
      <c r="C5" s="56" t="n">
        <f aca="false">CORREL('Ratios Panel'!$K$5:$K$104,'Ratios Panel'!$K$5:$K$104)</f>
        <v>1</v>
      </c>
      <c r="D5" s="57" t="n">
        <f aca="false">CORREL('Ratios Panel'!$K$5:$K$104,'Ratios Panel'!$L$5:$L$104)</f>
        <v>0.876858040123726</v>
      </c>
      <c r="E5" s="57" t="n">
        <f aca="false">CORREL('Ratios Panel'!$K$5:$K$104,'Ratios Panel'!$P$5:$P$104)</f>
        <v>0.533251219412489</v>
      </c>
      <c r="F5" s="57" t="n">
        <f aca="false">CORREL('Ratios Panel'!$K$5:$K$104,'Ratios Panel'!$M$5:$M$104)</f>
        <v>-0.0490096851439366</v>
      </c>
      <c r="G5" s="57" t="n">
        <f aca="false">CORREL('Ratios Panel'!$K$5:$K$104,'Ratios Panel'!$N$5:$N$104)</f>
        <v>0.406297175543993</v>
      </c>
      <c r="H5" s="57" t="n">
        <f aca="false">CORREL('Ratios Panel'!$K$5:$K$104,'Ratios Panel'!$O$5:$O$104)</f>
        <v>-0.00939482530829452</v>
      </c>
      <c r="I5" s="57" t="n">
        <f aca="false">CORREL('Ratios Panel'!$K$5:$K$104,'Ratios Panel'!$Q$5:$Q$104)</f>
        <v>0.107591947902898</v>
      </c>
    </row>
    <row r="6" customFormat="false" ht="15" hidden="false" customHeight="true" outlineLevel="0" collapsed="false">
      <c r="A6" s="55" t="s">
        <v>94</v>
      </c>
      <c r="B6" s="57" t="n">
        <f aca="false">CORREL('Ratios Panel'!$L$5:$L$104,'Ratios Panel'!$J$5:$J$104)</f>
        <v>-0.510526704274295</v>
      </c>
      <c r="C6" s="57" t="n">
        <f aca="false">CORREL('Ratios Panel'!$L$5:$L$104,'Ratios Panel'!$K$5:$K$104)</f>
        <v>0.876858040123726</v>
      </c>
      <c r="D6" s="56" t="n">
        <f aca="false">CORREL('Ratios Panel'!$L$5:$L$104,'Ratios Panel'!$L$5:$L$104)</f>
        <v>1</v>
      </c>
      <c r="E6" s="57" t="n">
        <f aca="false">CORREL('Ratios Panel'!$L$5:$L$104,'Ratios Panel'!$P$5:$P$104)</f>
        <v>0.6138894569875</v>
      </c>
      <c r="F6" s="57" t="n">
        <f aca="false">CORREL('Ratios Panel'!$L$5:$L$104,'Ratios Panel'!$M$5:$M$104)</f>
        <v>-0.00368957900183124</v>
      </c>
      <c r="G6" s="57" t="n">
        <f aca="false">CORREL('Ratios Panel'!$L$5:$L$104,'Ratios Panel'!$N$5:$N$104)</f>
        <v>0.400079297352052</v>
      </c>
      <c r="H6" s="57" t="n">
        <f aca="false">CORREL('Ratios Panel'!$L$5:$L$104,'Ratios Panel'!$O$5:$O$104)</f>
        <v>-0.224615193289145</v>
      </c>
      <c r="I6" s="57" t="n">
        <f aca="false">CORREL('Ratios Panel'!$L$5:$L$104,'Ratios Panel'!$Q$5:$Q$104)</f>
        <v>0.283358488221835</v>
      </c>
    </row>
    <row r="7" customFormat="false" ht="15" hidden="false" customHeight="true" outlineLevel="0" collapsed="false">
      <c r="A7" s="55" t="s">
        <v>196</v>
      </c>
      <c r="B7" s="57" t="n">
        <f aca="false">CORREL('Ratios Panel'!$P$5:$P$104,'Ratios Panel'!$J$5:$J$104)</f>
        <v>-0.38517443627218</v>
      </c>
      <c r="C7" s="57" t="n">
        <f aca="false">CORREL('Ratios Panel'!$P$5:$P$104,'Ratios Panel'!$K$5:$K$104)</f>
        <v>0.533251219412489</v>
      </c>
      <c r="D7" s="57" t="n">
        <f aca="false">CORREL('Ratios Panel'!$P$5:$P$104,'Ratios Panel'!$L$5:$L$104)</f>
        <v>0.6138894569875</v>
      </c>
      <c r="E7" s="56" t="n">
        <f aca="false">CORREL('Ratios Panel'!$P$5:$P$104,'Ratios Panel'!$P$5:$P$104)</f>
        <v>1</v>
      </c>
      <c r="F7" s="57" t="n">
        <f aca="false">CORREL('Ratios Panel'!$P$5:$P$104,'Ratios Panel'!$M$5:$M$104)</f>
        <v>-0.0252672779037339</v>
      </c>
      <c r="G7" s="57" t="n">
        <f aca="false">CORREL('Ratios Panel'!$P$5:$P$104,'Ratios Panel'!$N$5:$N$104)</f>
        <v>0.368078289780579</v>
      </c>
      <c r="H7" s="57" t="n">
        <f aca="false">CORREL('Ratios Panel'!$P$5:$P$104,'Ratios Panel'!$O$5:$O$104)</f>
        <v>-0.275703805366698</v>
      </c>
      <c r="I7" s="57" t="n">
        <f aca="false">CORREL('Ratios Panel'!$P$5:$P$104,'Ratios Panel'!$Q$5:$Q$104)</f>
        <v>0.254843424030105</v>
      </c>
    </row>
    <row r="8" customFormat="false" ht="15" hidden="false" customHeight="true" outlineLevel="0" collapsed="false">
      <c r="A8" s="55" t="s">
        <v>95</v>
      </c>
      <c r="B8" s="57" t="n">
        <f aca="false">CORREL('Ratios Panel'!$M$5:$M$104,'Ratios Panel'!$J$5:$J$104)</f>
        <v>-0.403698504647419</v>
      </c>
      <c r="C8" s="57" t="n">
        <f aca="false">CORREL('Ratios Panel'!$M$5:$M$104,'Ratios Panel'!$K$5:$K$104)</f>
        <v>-0.0490096851439366</v>
      </c>
      <c r="D8" s="57" t="n">
        <f aca="false">CORREL('Ratios Panel'!$M$5:$M$104,'Ratios Panel'!$L$5:$L$104)</f>
        <v>-0.00368957900183124</v>
      </c>
      <c r="E8" s="57" t="n">
        <f aca="false">CORREL('Ratios Panel'!$M$5:$M$104,'Ratios Panel'!$P$5:$P$104)</f>
        <v>-0.0252672779037339</v>
      </c>
      <c r="F8" s="56" t="n">
        <f aca="false">CORREL('Ratios Panel'!$M$5:$M$104,'Ratios Panel'!$M$5:$M$104)</f>
        <v>1</v>
      </c>
      <c r="G8" s="57" t="n">
        <f aca="false">CORREL('Ratios Panel'!$M$5:$M$104,'Ratios Panel'!$N$5:$N$104)</f>
        <v>-0.0658023342009684</v>
      </c>
      <c r="H8" s="57" t="n">
        <f aca="false">CORREL('Ratios Panel'!$M$5:$M$104,'Ratios Panel'!$O$5:$O$104)</f>
        <v>0.241066508099696</v>
      </c>
      <c r="I8" s="57" t="n">
        <f aca="false">CORREL('Ratios Panel'!$M$5:$M$104,'Ratios Panel'!$Q$5:$Q$104)</f>
        <v>-0.0908520574434377</v>
      </c>
    </row>
    <row r="9" customFormat="false" ht="15" hidden="false" customHeight="true" outlineLevel="0" collapsed="false">
      <c r="A9" s="55" t="s">
        <v>197</v>
      </c>
      <c r="B9" s="57" t="n">
        <f aca="false">CORREL('Ratios Panel'!$N$5:$N$104,'Ratios Panel'!$J$5:$J$104)</f>
        <v>-0.0256960224906581</v>
      </c>
      <c r="C9" s="57" t="n">
        <f aca="false">CORREL('Ratios Panel'!$N$5:$N$104,'Ratios Panel'!$K$5:$K$104)</f>
        <v>0.406297175543993</v>
      </c>
      <c r="D9" s="57" t="n">
        <f aca="false">CORREL('Ratios Panel'!$N$5:$N$104,'Ratios Panel'!$L$5:$L$104)</f>
        <v>0.400079297352052</v>
      </c>
      <c r="E9" s="57" t="n">
        <f aca="false">CORREL('Ratios Panel'!$N$5:$N$104,'Ratios Panel'!$P$5:$P$104)</f>
        <v>0.368078289780579</v>
      </c>
      <c r="F9" s="57" t="n">
        <f aca="false">CORREL('Ratios Panel'!$N$5:$N$104,'Ratios Panel'!$M$5:$M$104)</f>
        <v>-0.0658023342009684</v>
      </c>
      <c r="G9" s="56" t="n">
        <f aca="false">CORREL('Ratios Panel'!$N$5:$N$104,'Ratios Panel'!$N$5:$N$104)</f>
        <v>1</v>
      </c>
      <c r="H9" s="57" t="n">
        <f aca="false">CORREL('Ratios Panel'!$N$5:$N$104,'Ratios Panel'!$O$5:$O$104)</f>
        <v>-0.0268784960710544</v>
      </c>
      <c r="I9" s="57" t="n">
        <f aca="false">CORREL('Ratios Panel'!$N$5:$N$104,'Ratios Panel'!$Q$5:$Q$104)</f>
        <v>-0.0186858993644211</v>
      </c>
    </row>
    <row r="10" customFormat="false" ht="15" hidden="false" customHeight="true" outlineLevel="0" collapsed="false">
      <c r="A10" s="55" t="s">
        <v>97</v>
      </c>
      <c r="B10" s="57" t="n">
        <f aca="false">CORREL('Ratios Panel'!$O$5:$O$104,'Ratios Panel'!$J$5:$J$104)</f>
        <v>0.147773904285839</v>
      </c>
      <c r="C10" s="57" t="n">
        <f aca="false">CORREL('Ratios Panel'!$O$5:$O$104,'Ratios Panel'!$K$5:$K$104)</f>
        <v>-0.00939482530829452</v>
      </c>
      <c r="D10" s="57" t="n">
        <f aca="false">CORREL('Ratios Panel'!$O$5:$O$104,'Ratios Panel'!$L$5:$L$104)</f>
        <v>-0.224615193289145</v>
      </c>
      <c r="E10" s="57" t="n">
        <f aca="false">CORREL('Ratios Panel'!$O$5:$O$104,'Ratios Panel'!$P$5:$P$104)</f>
        <v>-0.275703805366698</v>
      </c>
      <c r="F10" s="57" t="n">
        <f aca="false">CORREL('Ratios Panel'!$O$5:$O$104,'Ratios Panel'!$M$5:$M$104)</f>
        <v>0.241066508099696</v>
      </c>
      <c r="G10" s="57" t="n">
        <f aca="false">CORREL('Ratios Panel'!$O$5:$O$104,'Ratios Panel'!$N$5:$N$104)</f>
        <v>-0.0268784960710544</v>
      </c>
      <c r="H10" s="56" t="n">
        <f aca="false">CORREL('Ratios Panel'!$O$5:$O$104,'Ratios Panel'!$O$5:$O$104)</f>
        <v>1</v>
      </c>
      <c r="I10" s="56" t="n">
        <f aca="false">CORREL('Ratios Panel'!$O$5:$O$104,'Ratios Panel'!$Q$5:$Q$104)</f>
        <v>-0.184529770146877</v>
      </c>
    </row>
    <row r="11" customFormat="false" ht="15" hidden="false" customHeight="false" outlineLevel="0" collapsed="false">
      <c r="A11" s="55" t="s">
        <v>198</v>
      </c>
      <c r="B11" s="56" t="n">
        <f aca="false">CORREL('Ratios Panel'!$Q$5:$Q$104,'Ratios Panel'!$J$5:$J$104)</f>
        <v>-0.050189744367466</v>
      </c>
      <c r="C11" s="57" t="n">
        <f aca="false">CORREL('Ratios Panel'!$Q$5:$Q$104,'Ratios Panel'!$K$5:$K$104)</f>
        <v>0.107591947902898</v>
      </c>
      <c r="D11" s="57" t="n">
        <f aca="false">CORREL('Ratios Panel'!$Q$5:$Q$104,'Ratios Panel'!$L$5:$L$104)</f>
        <v>0.283358488221835</v>
      </c>
      <c r="E11" s="57" t="n">
        <f aca="false">CORREL('Ratios Panel'!$Q$5:$Q$104,'Ratios Panel'!$P$5:$P$104)</f>
        <v>0.254843424030105</v>
      </c>
      <c r="F11" s="57" t="n">
        <f aca="false">CORREL('Ratios Panel'!$Q$5:$Q$104,'Ratios Panel'!$M$5:$M$104)</f>
        <v>-0.0908520574434377</v>
      </c>
      <c r="G11" s="57" t="n">
        <f aca="false">CORREL('Ratios Panel'!$Q$5:$Q$104,'Ratios Panel'!$N$5:$N$104)</f>
        <v>-0.0186858993644211</v>
      </c>
      <c r="H11" s="57" t="n">
        <f aca="false">CORREL('Ratios Panel'!$Q$5:$Q$104,'Ratios Panel'!$O$5:$O$104)</f>
        <v>-0.184529770146877</v>
      </c>
      <c r="I11" s="57" t="n">
        <f aca="false">CORREL('Ratios Panel'!$Q$5:$Q$104,'Ratios Panel'!$Q$5:$Q$104)</f>
        <v>1</v>
      </c>
    </row>
    <row r="12" customFormat="false" ht="15" hidden="false" customHeight="true" outlineLevel="0" collapsed="false">
      <c r="A12" s="58"/>
    </row>
    <row r="13" customFormat="false" ht="15" hidden="false" customHeight="true" outlineLevel="0" collapsed="false">
      <c r="A13" s="59" t="s">
        <v>199</v>
      </c>
      <c r="B13" s="59"/>
      <c r="C13" s="59"/>
      <c r="D13" s="59"/>
      <c r="E13" s="59"/>
      <c r="F13" s="59"/>
      <c r="G13" s="59"/>
      <c r="H13" s="59"/>
      <c r="I13" s="59"/>
    </row>
    <row r="14" customFormat="false" ht="15" hidden="false" customHeight="true" outlineLevel="0" collapsed="false">
      <c r="A14" s="59"/>
      <c r="B14" s="59"/>
      <c r="C14" s="59"/>
      <c r="D14" s="59"/>
      <c r="E14" s="59"/>
      <c r="F14" s="59"/>
      <c r="G14" s="59"/>
      <c r="H14" s="59"/>
      <c r="I14" s="59"/>
    </row>
    <row r="15" customFormat="false" ht="15" hidden="false" customHeight="false" outlineLevel="0" collapsed="false">
      <c r="A15" s="59"/>
      <c r="B15" s="59"/>
      <c r="C15" s="59"/>
      <c r="D15" s="59"/>
      <c r="E15" s="59"/>
      <c r="F15" s="59"/>
      <c r="G15" s="59"/>
      <c r="H15" s="59"/>
      <c r="I15" s="59"/>
    </row>
    <row r="16" customFormat="false" ht="15" hidden="false" customHeight="false" outlineLevel="0" collapsed="false">
      <c r="A16" s="59"/>
      <c r="B16" s="59"/>
      <c r="C16" s="59"/>
      <c r="D16" s="59"/>
      <c r="E16" s="59"/>
      <c r="F16" s="59"/>
      <c r="G16" s="59"/>
      <c r="H16" s="59"/>
      <c r="I16" s="59"/>
    </row>
    <row r="18" customFormat="false" ht="15" hidden="false" customHeight="false" outlineLevel="0" collapsed="false">
      <c r="A18" s="60" t="s">
        <v>200</v>
      </c>
    </row>
  </sheetData>
  <mergeCells count="2">
    <mergeCell ref="A1:I1"/>
    <mergeCell ref="A13:I16"/>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4" min="3" style="0" width="13"/>
    <col collapsed="false" customWidth="true" hidden="false" outlineLevel="0" max="5" min="5" style="0" width="12"/>
    <col collapsed="false" customWidth="true" hidden="false" outlineLevel="0" max="6" min="6" style="0" width="18"/>
  </cols>
  <sheetData>
    <row r="1" customFormat="false" ht="17.35" hidden="false" customHeight="false" outlineLevel="0" collapsed="false">
      <c r="A1" s="61" t="s">
        <v>201</v>
      </c>
      <c r="B1" s="61"/>
      <c r="C1" s="61"/>
      <c r="D1" s="61"/>
      <c r="E1" s="61"/>
      <c r="F1" s="61"/>
    </row>
    <row r="2" customFormat="false" ht="39.75" hidden="false" customHeight="true" outlineLevel="0" collapsed="false">
      <c r="A2" s="62" t="s">
        <v>202</v>
      </c>
      <c r="B2" s="62"/>
      <c r="C2" s="62"/>
      <c r="D2" s="62"/>
      <c r="E2" s="62"/>
      <c r="F2" s="62"/>
    </row>
    <row r="4" customFormat="false" ht="15" hidden="false" customHeight="false" outlineLevel="0" collapsed="false">
      <c r="A4" s="63" t="s">
        <v>203</v>
      </c>
      <c r="B4" s="63"/>
      <c r="C4" s="63"/>
      <c r="D4" s="63"/>
      <c r="E4" s="63"/>
      <c r="F4" s="63"/>
    </row>
    <row r="5" customFormat="false" ht="15" hidden="false" customHeight="false" outlineLevel="0" collapsed="false">
      <c r="A5" s="7" t="s">
        <v>204</v>
      </c>
      <c r="B5" s="7" t="s">
        <v>205</v>
      </c>
      <c r="C5" s="7" t="s">
        <v>206</v>
      </c>
      <c r="D5" s="7" t="s">
        <v>207</v>
      </c>
      <c r="E5" s="7" t="s">
        <v>208</v>
      </c>
      <c r="F5" s="7" t="s">
        <v>209</v>
      </c>
    </row>
    <row r="6" customFormat="false" ht="15" hidden="false" customHeight="false" outlineLevel="0" collapsed="false">
      <c r="A6" s="64" t="s">
        <v>210</v>
      </c>
      <c r="B6" s="65" t="n">
        <f aca="false">INDEX(LINEST('Ratios Panel'!$K$5:$K$104,'Ratios Panel'!$S$5:$V$104,TRUE(),TRUE()),1,5)</f>
        <v>0.381492152368642</v>
      </c>
      <c r="C6" s="65" t="n">
        <f aca="false">INDEX(LINEST('Ratios Panel'!$K$5:$K$104,'Ratios Panel'!$S$5:$V$104,TRUE(),TRUE()),2,5)</f>
        <v>0.100128175543114</v>
      </c>
      <c r="D6" s="66" t="n">
        <f aca="false">B6/C6</f>
        <v>3.81003798680397</v>
      </c>
      <c r="E6" s="65" t="n">
        <f aca="false">TDIST(ABS(D6),$B$15,2)</f>
        <v>0.000246489355787</v>
      </c>
      <c r="F6" s="67" t="str">
        <f aca="false">IF(E6&lt;0.01,"Yes**",IF(E6&lt;0.05,"Yes*","No"))</f>
        <v>Yes**</v>
      </c>
    </row>
    <row r="7" customFormat="false" ht="15" hidden="false" customHeight="false" outlineLevel="0" collapsed="false">
      <c r="A7" s="68" t="s">
        <v>211</v>
      </c>
      <c r="B7" s="69" t="n">
        <f aca="false">INDEX(LINEST('Ratios Panel'!$K$5:$K$104,'Ratios Panel'!$S$5:$V$104,TRUE(),TRUE()),1,4)</f>
        <v>-0.0771795083613419</v>
      </c>
      <c r="C7" s="69" t="n">
        <f aca="false">INDEX(LINEST('Ratios Panel'!$K$5:$K$104,'Ratios Panel'!$S$5:$V$104,TRUE(),TRUE()),2,4)</f>
        <v>0.0156664563410677</v>
      </c>
      <c r="D7" s="70" t="n">
        <f aca="false">B7/C7</f>
        <v>-4.92641773487889</v>
      </c>
      <c r="E7" s="69" t="n">
        <f aca="false">TDIST(ABS(D7),$B$15,2)</f>
        <v>3.53440386180138E-006</v>
      </c>
      <c r="F7" s="71" t="str">
        <f aca="false">IF(E7&lt;0.01,"Yes**",IF(E7&lt;0.05,"Yes*","No"))</f>
        <v>Yes**</v>
      </c>
    </row>
    <row r="8" customFormat="false" ht="15" hidden="false" customHeight="false" outlineLevel="0" collapsed="false">
      <c r="A8" s="64" t="s">
        <v>212</v>
      </c>
      <c r="B8" s="65" t="n">
        <f aca="false">INDEX(LINEST('Ratios Panel'!$K$5:$K$104,'Ratios Panel'!$S$5:$V$104,TRUE(),TRUE()),1,3)</f>
        <v>-0.0310536554480525</v>
      </c>
      <c r="C8" s="65" t="n">
        <f aca="false">INDEX(LINEST('Ratios Panel'!$K$5:$K$104,'Ratios Panel'!$S$5:$V$104,TRUE(),TRUE()),2,3)</f>
        <v>0.0123507201801551</v>
      </c>
      <c r="D8" s="66" t="n">
        <f aca="false">B8/C8</f>
        <v>-2.51431940770134</v>
      </c>
      <c r="E8" s="65" t="n">
        <f aca="false">TDIST(ABS(D8),$B$15,2)</f>
        <v>0.0136072707593919</v>
      </c>
      <c r="F8" s="67" t="str">
        <f aca="false">IF(E8&lt;0.01,"Yes**",IF(E8&lt;0.05,"Yes*","No"))</f>
        <v>Yes*</v>
      </c>
    </row>
    <row r="9" customFormat="false" ht="15" hidden="false" customHeight="false" outlineLevel="0" collapsed="false">
      <c r="A9" s="68" t="s">
        <v>213</v>
      </c>
      <c r="B9" s="69" t="n">
        <f aca="false">INDEX(LINEST('Ratios Panel'!$K$5:$K$104,'Ratios Panel'!$S$5:$V$104,TRUE(),TRUE()),1,2)</f>
        <v>0.196384538722436</v>
      </c>
      <c r="C9" s="69" t="n">
        <f aca="false">INDEX(LINEST('Ratios Panel'!$K$5:$K$104,'Ratios Panel'!$S$5:$V$104,TRUE(),TRUE()),2,2)</f>
        <v>0.0432067054641049</v>
      </c>
      <c r="D9" s="70" t="n">
        <f aca="false">B9/C9</f>
        <v>4.54523288950108</v>
      </c>
      <c r="E9" s="69" t="n">
        <f aca="false">TDIST(ABS(D9),$B$15,2)</f>
        <v>1.61500799753971E-005</v>
      </c>
      <c r="F9" s="71" t="str">
        <f aca="false">IF(E9&lt;0.01,"Yes**",IF(E9&lt;0.05,"Yes*","No"))</f>
        <v>Yes**</v>
      </c>
    </row>
    <row r="10" customFormat="false" ht="15" hidden="false" customHeight="false" outlineLevel="0" collapsed="false">
      <c r="A10" s="64" t="s">
        <v>214</v>
      </c>
      <c r="B10" s="65" t="n">
        <f aca="false">INDEX(LINEST('Ratios Panel'!$K$5:$K$104,'Ratios Panel'!$S$5:$V$104,TRUE(),TRUE()),1,1)</f>
        <v>0.0835465386244746</v>
      </c>
      <c r="C10" s="65" t="n">
        <f aca="false">INDEX(LINEST('Ratios Panel'!$K$5:$K$104,'Ratios Panel'!$S$5:$V$104,TRUE(),TRUE()),2,1)</f>
        <v>0.058001378043815</v>
      </c>
      <c r="D10" s="66" t="n">
        <f aca="false">B10/C10</f>
        <v>1.44042333893106</v>
      </c>
      <c r="E10" s="65" t="n">
        <f aca="false">TDIST(ABS(D10),$B$15,2)</f>
        <v>0.153035292025985</v>
      </c>
      <c r="F10" s="67" t="str">
        <f aca="false">IF(E10&lt;0.01,"Yes**",IF(E10&lt;0.05,"Yes*","No"))</f>
        <v>No</v>
      </c>
    </row>
    <row r="12" customFormat="false" ht="15" hidden="false" customHeight="false" outlineLevel="0" collapsed="false">
      <c r="A12" s="8" t="s">
        <v>215</v>
      </c>
      <c r="B12" s="66" t="n">
        <f aca="false">INDEX(LINEST('Ratios Panel'!$K$5:$K$104,'Ratios Panel'!$S$5:$V$104,TRUE(),TRUE()),3,1)</f>
        <v>0.335408685809831</v>
      </c>
    </row>
    <row r="13" customFormat="false" ht="15" hidden="false" customHeight="false" outlineLevel="0" collapsed="false">
      <c r="A13" s="8" t="s">
        <v>216</v>
      </c>
      <c r="B13" s="66" t="n">
        <f aca="false">1-(1-B12)*(B16-1)/(B16-4-1)</f>
        <v>0.307425893633402</v>
      </c>
    </row>
    <row r="14" customFormat="false" ht="15" hidden="false" customHeight="false" outlineLevel="0" collapsed="false">
      <c r="A14" s="8" t="s">
        <v>217</v>
      </c>
      <c r="B14" s="72" t="n">
        <f aca="false">INDEX(LINEST('Ratios Panel'!$K$5:$K$104,'Ratios Panel'!$S$5:$V$104,TRUE(),TRUE()),4,1)</f>
        <v>11.9862479660757</v>
      </c>
    </row>
    <row r="15" customFormat="false" ht="15" hidden="false" customHeight="false" outlineLevel="0" collapsed="false">
      <c r="A15" s="8" t="s">
        <v>218</v>
      </c>
      <c r="B15" s="73" t="n">
        <f aca="false">INDEX(LINEST('Ratios Panel'!$K$5:$K$104,'Ratios Panel'!$S$5:$V$104,TRUE(),TRUE()),4,2)</f>
        <v>95</v>
      </c>
    </row>
    <row r="16" customFormat="false" ht="15" hidden="false" customHeight="false" outlineLevel="0" collapsed="false">
      <c r="A16" s="8" t="s">
        <v>219</v>
      </c>
      <c r="B16" s="73" t="n">
        <f aca="false">COUNT('Ratios Panel'!$K$5:$K$104)</f>
        <v>100</v>
      </c>
    </row>
    <row r="17" customFormat="false" ht="15" hidden="false" customHeight="false" outlineLevel="0" collapsed="false">
      <c r="A17" s="8" t="s">
        <v>220</v>
      </c>
      <c r="B17" s="65" t="n">
        <f aca="false">FDIST(B14,4,B15)</f>
        <v>6.31033499999194E-008</v>
      </c>
    </row>
    <row r="20" customFormat="false" ht="15" hidden="false" customHeight="false" outlineLevel="0" collapsed="false">
      <c r="A20" s="63" t="s">
        <v>221</v>
      </c>
      <c r="B20" s="63"/>
      <c r="C20" s="63"/>
      <c r="D20" s="63"/>
      <c r="E20" s="63"/>
      <c r="F20" s="63"/>
    </row>
    <row r="21" customFormat="false" ht="15" hidden="false" customHeight="false" outlineLevel="0" collapsed="false">
      <c r="A21" s="7" t="s">
        <v>204</v>
      </c>
      <c r="B21" s="7" t="s">
        <v>205</v>
      </c>
      <c r="C21" s="7" t="s">
        <v>206</v>
      </c>
      <c r="D21" s="7" t="s">
        <v>207</v>
      </c>
      <c r="E21" s="7" t="s">
        <v>208</v>
      </c>
      <c r="F21" s="7" t="s">
        <v>209</v>
      </c>
    </row>
    <row r="22" customFormat="false" ht="15" hidden="false" customHeight="false" outlineLevel="0" collapsed="false">
      <c r="A22" s="64" t="s">
        <v>210</v>
      </c>
      <c r="B22" s="65" t="n">
        <f aca="false">INDEX(LINEST('Ratios Panel'!$L$5:$L$104,'Ratios Panel'!$S$5:$V$104,TRUE(),TRUE()),1,5)</f>
        <v>0.208657474030739</v>
      </c>
      <c r="C22" s="65" t="n">
        <f aca="false">INDEX(LINEST('Ratios Panel'!$L$5:$L$104,'Ratios Panel'!$S$5:$V$104,TRUE(),TRUE()),2,5)</f>
        <v>0.0471024688033271</v>
      </c>
      <c r="D22" s="66" t="n">
        <f aca="false">B22/C22</f>
        <v>4.42986279343389</v>
      </c>
      <c r="E22" s="65" t="n">
        <f aca="false">TDIST(ABS(D22),$B$31,2)</f>
        <v>2.52355330234485E-005</v>
      </c>
      <c r="F22" s="67" t="str">
        <f aca="false">IF(E22&lt;0.01,"Yes**",IF(E22&lt;0.05,"Yes*","No"))</f>
        <v>Yes**</v>
      </c>
    </row>
    <row r="23" customFormat="false" ht="15" hidden="false" customHeight="false" outlineLevel="0" collapsed="false">
      <c r="A23" s="68" t="s">
        <v>211</v>
      </c>
      <c r="B23" s="69" t="n">
        <f aca="false">INDEX(LINEST('Ratios Panel'!$L$5:$L$104,'Ratios Panel'!$S$5:$V$104,TRUE(),TRUE()),1,4)</f>
        <v>-0.0481588126781969</v>
      </c>
      <c r="C23" s="69" t="n">
        <f aca="false">INDEX(LINEST('Ratios Panel'!$L$5:$L$104,'Ratios Panel'!$S$5:$V$104,TRUE(),TRUE()),2,4)</f>
        <v>0.00736984137642738</v>
      </c>
      <c r="D23" s="70" t="n">
        <f aca="false">B23/C23</f>
        <v>-6.53457926953952</v>
      </c>
      <c r="E23" s="69" t="n">
        <f aca="false">TDIST(ABS(D23),$B$31,2)</f>
        <v>3.15594946105801E-009</v>
      </c>
      <c r="F23" s="71" t="str">
        <f aca="false">IF(E23&lt;0.01,"Yes**",IF(E23&lt;0.05,"Yes*","No"))</f>
        <v>Yes**</v>
      </c>
    </row>
    <row r="24" customFormat="false" ht="15" hidden="false" customHeight="false" outlineLevel="0" collapsed="false">
      <c r="A24" s="64" t="s">
        <v>212</v>
      </c>
      <c r="B24" s="65" t="n">
        <f aca="false">INDEX(LINEST('Ratios Panel'!$L$5:$L$104,'Ratios Panel'!$S$5:$V$104,TRUE(),TRUE()),1,3)</f>
        <v>-0.0122670730404771</v>
      </c>
      <c r="C24" s="65" t="n">
        <f aca="false">INDEX(LINEST('Ratios Panel'!$L$5:$L$104,'Ratios Panel'!$S$5:$V$104,TRUE(),TRUE()),2,3)</f>
        <v>0.00581004706046882</v>
      </c>
      <c r="D24" s="66" t="n">
        <f aca="false">B24/C24</f>
        <v>-2.11135519433939</v>
      </c>
      <c r="E24" s="65" t="n">
        <f aca="false">TDIST(ABS(D24),$B$31,2)</f>
        <v>0.0373668882934351</v>
      </c>
      <c r="F24" s="67" t="str">
        <f aca="false">IF(E24&lt;0.01,"Yes**",IF(E24&lt;0.05,"Yes*","No"))</f>
        <v>Yes*</v>
      </c>
    </row>
    <row r="25" customFormat="false" ht="15" hidden="false" customHeight="false" outlineLevel="0" collapsed="false">
      <c r="A25" s="68" t="s">
        <v>213</v>
      </c>
      <c r="B25" s="69" t="n">
        <f aca="false">INDEX(LINEST('Ratios Panel'!$L$5:$L$104,'Ratios Panel'!$S$5:$V$104,TRUE(),TRUE()),1,2)</f>
        <v>0.0992949372421079</v>
      </c>
      <c r="C25" s="69" t="n">
        <f aca="false">INDEX(LINEST('Ratios Panel'!$L$5:$L$104,'Ratios Panel'!$S$5:$V$104,TRUE(),TRUE()),2,2)</f>
        <v>0.0203253728051924</v>
      </c>
      <c r="D25" s="70" t="n">
        <f aca="false">B25/C25</f>
        <v>4.88527015931249</v>
      </c>
      <c r="E25" s="69" t="n">
        <f aca="false">TDIST(ABS(D25),$B$31,2)</f>
        <v>4.17753257729151E-006</v>
      </c>
      <c r="F25" s="71" t="str">
        <f aca="false">IF(E25&lt;0.01,"Yes**",IF(E25&lt;0.05,"Yes*","No"))</f>
        <v>Yes**</v>
      </c>
    </row>
    <row r="26" customFormat="false" ht="15" hidden="false" customHeight="false" outlineLevel="0" collapsed="false">
      <c r="A26" s="64" t="s">
        <v>214</v>
      </c>
      <c r="B26" s="65" t="n">
        <f aca="false">INDEX(LINEST('Ratios Panel'!$L$5:$L$104,'Ratios Panel'!$S$5:$V$104,TRUE(),TRUE()),1,1)</f>
        <v>-0.0291448514607453</v>
      </c>
      <c r="C26" s="65" t="n">
        <f aca="false">INDEX(LINEST('Ratios Panel'!$L$5:$L$104,'Ratios Panel'!$S$5:$V$104,TRUE(),TRUE()),2,1)</f>
        <v>0.0272851081630105</v>
      </c>
      <c r="D26" s="66" t="n">
        <f aca="false">B26/C26</f>
        <v>-1.06815964542358</v>
      </c>
      <c r="E26" s="65" t="n">
        <f aca="false">TDIST(ABS(D26),$B$31,2)</f>
        <v>0.288155284033029</v>
      </c>
      <c r="F26" s="67" t="str">
        <f aca="false">IF(E26&lt;0.01,"Yes**",IF(E26&lt;0.05,"Yes*","No"))</f>
        <v>No</v>
      </c>
    </row>
    <row r="28" customFormat="false" ht="15" hidden="false" customHeight="false" outlineLevel="0" collapsed="false">
      <c r="A28" s="8" t="s">
        <v>215</v>
      </c>
      <c r="B28" s="66" t="n">
        <f aca="false">INDEX(LINEST('Ratios Panel'!$L$5:$L$104,'Ratios Panel'!$S$5:$V$104,TRUE(),TRUE()),3,1)</f>
        <v>0.456112622390618</v>
      </c>
    </row>
    <row r="29" customFormat="false" ht="15" hidden="false" customHeight="false" outlineLevel="0" collapsed="false">
      <c r="A29" s="8" t="s">
        <v>216</v>
      </c>
      <c r="B29" s="66" t="n">
        <f aca="false">1-(1-B28)*(B32-1)/(B32-4-1)</f>
        <v>0.433212101228118</v>
      </c>
    </row>
    <row r="30" customFormat="false" ht="15" hidden="false" customHeight="false" outlineLevel="0" collapsed="false">
      <c r="A30" s="8" t="s">
        <v>217</v>
      </c>
      <c r="B30" s="72" t="n">
        <f aca="false">INDEX(LINEST('Ratios Panel'!$L$5:$L$104,'Ratios Panel'!$S$5:$V$104,TRUE(),TRUE()),4,1)</f>
        <v>19.9171284860322</v>
      </c>
    </row>
    <row r="31" customFormat="false" ht="15" hidden="false" customHeight="false" outlineLevel="0" collapsed="false">
      <c r="A31" s="8" t="s">
        <v>218</v>
      </c>
      <c r="B31" s="73" t="n">
        <f aca="false">INDEX(LINEST('Ratios Panel'!$L$5:$L$104,'Ratios Panel'!$S$5:$V$104,TRUE(),TRUE()),4,2)</f>
        <v>95</v>
      </c>
    </row>
    <row r="32" customFormat="false" ht="15" hidden="false" customHeight="false" outlineLevel="0" collapsed="false">
      <c r="A32" s="8" t="s">
        <v>219</v>
      </c>
      <c r="B32" s="73" t="n">
        <f aca="false">COUNT('Ratios Panel'!$L$5:$L$104)</f>
        <v>100</v>
      </c>
    </row>
    <row r="33" customFormat="false" ht="15" hidden="false" customHeight="false" outlineLevel="0" collapsed="false">
      <c r="A33" s="8" t="s">
        <v>220</v>
      </c>
      <c r="B33" s="65" t="n">
        <f aca="false">FDIST(B30,4,B31)</f>
        <v>6.19496659407597E-012</v>
      </c>
    </row>
    <row r="36" customFormat="false" ht="15" hidden="false" customHeight="false" outlineLevel="0" collapsed="false">
      <c r="A36" s="63" t="s">
        <v>222</v>
      </c>
      <c r="B36" s="63"/>
      <c r="C36" s="63"/>
      <c r="D36" s="63"/>
      <c r="E36" s="63"/>
      <c r="F36" s="63"/>
    </row>
    <row r="37" customFormat="false" ht="15" hidden="false" customHeight="false" outlineLevel="0" collapsed="false">
      <c r="A37" s="7" t="s">
        <v>204</v>
      </c>
      <c r="B37" s="7" t="s">
        <v>205</v>
      </c>
      <c r="C37" s="7" t="s">
        <v>206</v>
      </c>
      <c r="D37" s="7" t="s">
        <v>207</v>
      </c>
      <c r="E37" s="7" t="s">
        <v>208</v>
      </c>
      <c r="F37" s="7" t="s">
        <v>209</v>
      </c>
    </row>
    <row r="38" customFormat="false" ht="15" hidden="false" customHeight="false" outlineLevel="0" collapsed="false">
      <c r="A38" s="64" t="s">
        <v>210</v>
      </c>
      <c r="B38" s="65" t="n">
        <f aca="false">INDEX(LINEST('Ratios Panel'!$K$5:$K$104,'Ratios Panel'!$S$5:$W$104,TRUE(),TRUE()),1,6)</f>
        <v>0.383782012149753</v>
      </c>
      <c r="C38" s="65" t="n">
        <f aca="false">INDEX(LINEST('Ratios Panel'!$K$5:$K$104,'Ratios Panel'!$S$5:$W$104,TRUE(),TRUE()),2,6)</f>
        <v>0.101219969758284</v>
      </c>
      <c r="D38" s="66" t="n">
        <f aca="false">B38/C38</f>
        <v>3.79156418507372</v>
      </c>
      <c r="E38" s="65" t="n">
        <f aca="false">TDIST(ABS(D38),$B$48,2)</f>
        <v>0.000264394639351236</v>
      </c>
      <c r="F38" s="67" t="str">
        <f aca="false">IF(E38&lt;0.01,"Yes**",IF(E38&lt;0.05,"Yes*","No"))</f>
        <v>Yes**</v>
      </c>
    </row>
    <row r="39" customFormat="false" ht="15" hidden="false" customHeight="false" outlineLevel="0" collapsed="false">
      <c r="A39" s="68" t="s">
        <v>211</v>
      </c>
      <c r="B39" s="69" t="n">
        <f aca="false">INDEX(LINEST('Ratios Panel'!$K$5:$K$104,'Ratios Panel'!$S$5:$W$104,TRUE(),TRUE()),1,5)</f>
        <v>-0.0772272392014278</v>
      </c>
      <c r="C39" s="69" t="n">
        <f aca="false">INDEX(LINEST('Ratios Panel'!$K$5:$K$104,'Ratios Panel'!$S$5:$W$104,TRUE(),TRUE()),2,5)</f>
        <v>0.015747473138857</v>
      </c>
      <c r="D39" s="70" t="n">
        <f aca="false">B39/C39</f>
        <v>-4.90410356763011</v>
      </c>
      <c r="E39" s="69" t="n">
        <f aca="false">TDIST(ABS(D39),$B$48,2)</f>
        <v>3.92074453091089E-006</v>
      </c>
      <c r="F39" s="71" t="str">
        <f aca="false">IF(E39&lt;0.01,"Yes**",IF(E39&lt;0.05,"Yes*","No"))</f>
        <v>Yes**</v>
      </c>
    </row>
    <row r="40" customFormat="false" ht="15" hidden="false" customHeight="false" outlineLevel="0" collapsed="false">
      <c r="A40" s="64" t="s">
        <v>212</v>
      </c>
      <c r="B40" s="65" t="n">
        <f aca="false">INDEX(LINEST('Ratios Panel'!$K$5:$K$104,'Ratios Panel'!$S$5:$W$104,TRUE(),TRUE()),1,4)</f>
        <v>-0.0312352973252633</v>
      </c>
      <c r="C40" s="65" t="n">
        <f aca="false">INDEX(LINEST('Ratios Panel'!$K$5:$K$104,'Ratios Panel'!$S$5:$W$104,TRUE(),TRUE()),2,4)</f>
        <v>0.0124431694382427</v>
      </c>
      <c r="D40" s="66" t="n">
        <f aca="false">B40/C40</f>
        <v>-2.51023643777326</v>
      </c>
      <c r="E40" s="65" t="n">
        <f aca="false">TDIST(ABS(D40),$B$48,2)</f>
        <v>0.013773910891138</v>
      </c>
      <c r="F40" s="67" t="str">
        <f aca="false">IF(E40&lt;0.01,"Yes**",IF(E40&lt;0.05,"Yes*","No"))</f>
        <v>Yes*</v>
      </c>
    </row>
    <row r="41" customFormat="false" ht="15" hidden="false" customHeight="false" outlineLevel="0" collapsed="false">
      <c r="A41" s="68" t="s">
        <v>213</v>
      </c>
      <c r="B41" s="69" t="n">
        <f aca="false">INDEX(LINEST('Ratios Panel'!$K$5:$K$104,'Ratios Panel'!$S$5:$W$104,TRUE(),TRUE()),1,3)</f>
        <v>0.193691933911991</v>
      </c>
      <c r="C41" s="69" t="n">
        <f aca="false">INDEX(LINEST('Ratios Panel'!$K$5:$K$104,'Ratios Panel'!$S$5:$W$104,TRUE(),TRUE()),2,3)</f>
        <v>0.0452647312030163</v>
      </c>
      <c r="D41" s="70" t="n">
        <f aca="false">B41/C41</f>
        <v>4.2790916628504</v>
      </c>
      <c r="E41" s="69" t="n">
        <f aca="false">TDIST(ABS(D41),$B$48,2)</f>
        <v>4.51379748193889E-005</v>
      </c>
      <c r="F41" s="71" t="str">
        <f aca="false">IF(E41&lt;0.01,"Yes**",IF(E41&lt;0.05,"Yes*","No"))</f>
        <v>Yes**</v>
      </c>
    </row>
    <row r="42" customFormat="false" ht="15" hidden="false" customHeight="false" outlineLevel="0" collapsed="false">
      <c r="A42" s="64" t="s">
        <v>214</v>
      </c>
      <c r="B42" s="65" t="n">
        <f aca="false">INDEX(LINEST('Ratios Panel'!$K$5:$K$104,'Ratios Panel'!$S$5:$W$104,TRUE(),TRUE()),1,2)</f>
        <v>0.0843606387878953</v>
      </c>
      <c r="C42" s="65" t="n">
        <f aca="false">INDEX(LINEST('Ratios Panel'!$K$5:$K$104,'Ratios Panel'!$S$5:$W$104,TRUE(),TRUE()),2,2)</f>
        <v>0.0584230445656067</v>
      </c>
      <c r="D42" s="66" t="n">
        <f aca="false">B42/C42</f>
        <v>1.44396170064642</v>
      </c>
      <c r="E42" s="65" t="n">
        <f aca="false">TDIST(ABS(D42),$B$48,2)</f>
        <v>0.152074522289647</v>
      </c>
      <c r="F42" s="67" t="str">
        <f aca="false">IF(E42&lt;0.01,"Yes**",IF(E42&lt;0.05,"Yes*","No"))</f>
        <v>No</v>
      </c>
    </row>
    <row r="43" customFormat="false" ht="15" hidden="false" customHeight="false" outlineLevel="0" collapsed="false">
      <c r="A43" s="68" t="s">
        <v>223</v>
      </c>
      <c r="B43" s="69" t="n">
        <f aca="false">INDEX(LINEST('Ratios Panel'!$K$5:$K$104,'Ratios Panel'!$S$5:$W$104,TRUE(),TRUE()),1,1)</f>
        <v>-0.00455412999322019</v>
      </c>
      <c r="C43" s="69" t="n">
        <f aca="false">INDEX(LINEST('Ratios Panel'!$K$5:$K$104,'Ratios Panel'!$S$5:$W$104,TRUE(),TRUE()),2,1)</f>
        <v>0.0216008592696391</v>
      </c>
      <c r="D43" s="70" t="n">
        <f aca="false">B43/C43</f>
        <v>-0.210830964470992</v>
      </c>
      <c r="E43" s="69" t="n">
        <f aca="false">TDIST(ABS(D43),$B$48,2)</f>
        <v>0.833475546167245</v>
      </c>
      <c r="F43" s="71" t="str">
        <f aca="false">IF(E43&lt;0.01,"Yes**",IF(E43&lt;0.05,"Yes*","No"))</f>
        <v>No</v>
      </c>
    </row>
    <row r="45" customFormat="false" ht="15" hidden="false" customHeight="false" outlineLevel="0" collapsed="false">
      <c r="A45" s="8" t="s">
        <v>215</v>
      </c>
      <c r="B45" s="66" t="n">
        <f aca="false">INDEX(LINEST('Ratios Panel'!$K$5:$K$104,'Ratios Panel'!$S$5:$W$104,TRUE(),TRUE()),3,1)</f>
        <v>0.335722801971883</v>
      </c>
    </row>
    <row r="46" customFormat="false" ht="15" hidden="false" customHeight="false" outlineLevel="0" collapsed="false">
      <c r="A46" s="8" t="s">
        <v>216</v>
      </c>
      <c r="B46" s="66" t="n">
        <f aca="false">1-(1-B45)*(B49-1)/(B49-5-1)</f>
        <v>0.300388908459749</v>
      </c>
    </row>
    <row r="47" customFormat="false" ht="15" hidden="false" customHeight="false" outlineLevel="0" collapsed="false">
      <c r="A47" s="8" t="s">
        <v>217</v>
      </c>
      <c r="B47" s="72" t="n">
        <f aca="false">INDEX(LINEST('Ratios Panel'!$K$5:$K$104,'Ratios Panel'!$S$5:$W$104,TRUE(),TRUE()),4,1)</f>
        <v>9.50143809814205</v>
      </c>
    </row>
    <row r="48" customFormat="false" ht="15" hidden="false" customHeight="false" outlineLevel="0" collapsed="false">
      <c r="A48" s="8" t="s">
        <v>218</v>
      </c>
      <c r="B48" s="73" t="n">
        <f aca="false">INDEX(LINEST('Ratios Panel'!$K$5:$K$104,'Ratios Panel'!$S$5:$W$104,TRUE(),TRUE()),4,2)</f>
        <v>94</v>
      </c>
    </row>
    <row r="49" customFormat="false" ht="15" hidden="false" customHeight="false" outlineLevel="0" collapsed="false">
      <c r="A49" s="8" t="s">
        <v>219</v>
      </c>
      <c r="B49" s="73" t="n">
        <f aca="false">COUNT('Ratios Panel'!$K$5:$K$104)</f>
        <v>100</v>
      </c>
    </row>
    <row r="50" customFormat="false" ht="15" hidden="false" customHeight="false" outlineLevel="0" collapsed="false">
      <c r="A50" s="8" t="s">
        <v>220</v>
      </c>
      <c r="B50" s="65" t="n">
        <f aca="false">FDIST(B47,5,B48)</f>
        <v>2.33100149409909E-007</v>
      </c>
    </row>
    <row r="52" customFormat="false" ht="15" hidden="false" customHeight="true" outlineLevel="0" collapsed="false">
      <c r="A52" s="74" t="s">
        <v>224</v>
      </c>
      <c r="B52" s="74"/>
      <c r="C52" s="74"/>
      <c r="D52" s="74"/>
      <c r="E52" s="74"/>
      <c r="F52" s="74"/>
    </row>
    <row r="53" customFormat="false" ht="15" hidden="false" customHeight="false" outlineLevel="0" collapsed="false">
      <c r="A53" s="74"/>
      <c r="B53" s="74"/>
      <c r="C53" s="74"/>
      <c r="D53" s="74"/>
      <c r="E53" s="74"/>
      <c r="F53" s="74"/>
    </row>
    <row r="54" customFormat="false" ht="15" hidden="false" customHeight="false" outlineLevel="0" collapsed="false">
      <c r="A54" s="74"/>
      <c r="B54" s="74"/>
      <c r="C54" s="74"/>
      <c r="D54" s="74"/>
      <c r="E54" s="74"/>
      <c r="F54" s="74"/>
    </row>
  </sheetData>
  <mergeCells count="6">
    <mergeCell ref="A1:F1"/>
    <mergeCell ref="A2:F2"/>
    <mergeCell ref="A4:F4"/>
    <mergeCell ref="A20:F20"/>
    <mergeCell ref="A36:F36"/>
    <mergeCell ref="A52:F54"/>
  </mergeCells>
  <printOptions headings="false" gridLines="false" gridLinesSet="true" horizontalCentered="tru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44"/>
    <col collapsed="false" customWidth="true" hidden="false" outlineLevel="0" max="2" min="2" style="14" width="13"/>
    <col collapsed="false" customWidth="true" hidden="false" outlineLevel="0" max="3" min="3" style="14" width="22"/>
    <col collapsed="false" customWidth="true" hidden="false" outlineLevel="0" max="4" min="4" style="14" width="18"/>
    <col collapsed="false" customWidth="true" hidden="false" outlineLevel="0" max="5" min="5" style="14" width="13"/>
    <col collapsed="false" customWidth="true" hidden="false" outlineLevel="0" max="6" min="6" style="14" width="14"/>
    <col collapsed="false" customWidth="true" hidden="false" outlineLevel="0" max="7" min="7" style="14" width="13"/>
    <col collapsed="false" customWidth="true" hidden="false" outlineLevel="0" max="8" min="8" style="14" width="16"/>
    <col collapsed="false" customWidth="true" hidden="false" outlineLevel="0" max="9" min="9" style="14" width="40"/>
    <col collapsed="false" customWidth="true" hidden="false" outlineLevel="0" max="10" min="10" style="14" width="12"/>
  </cols>
  <sheetData>
    <row r="1" customFormat="false" ht="17.25" hidden="false" customHeight="true" outlineLevel="0" collapsed="false">
      <c r="A1" s="15" t="s">
        <v>225</v>
      </c>
      <c r="B1" s="15"/>
      <c r="C1" s="15"/>
      <c r="D1" s="15"/>
      <c r="E1" s="15"/>
      <c r="F1" s="15"/>
      <c r="G1" s="15"/>
      <c r="H1" s="15"/>
      <c r="I1" s="15"/>
      <c r="J1" s="15"/>
    </row>
    <row r="2" customFormat="false" ht="51.75" hidden="false" customHeight="true" outlineLevel="0" collapsed="false">
      <c r="A2" s="62" t="s">
        <v>226</v>
      </c>
      <c r="B2" s="62"/>
      <c r="C2" s="62"/>
      <c r="D2" s="62"/>
      <c r="E2" s="62"/>
      <c r="F2" s="62"/>
      <c r="G2" s="62"/>
      <c r="H2" s="62"/>
      <c r="I2" s="62"/>
      <c r="J2" s="62"/>
    </row>
    <row r="4" customFormat="false" ht="15" hidden="false" customHeight="true" outlineLevel="0" collapsed="false">
      <c r="A4" s="75" t="s">
        <v>227</v>
      </c>
      <c r="B4" s="75"/>
      <c r="C4" s="75"/>
      <c r="D4" s="75"/>
      <c r="E4" s="75"/>
      <c r="F4" s="75"/>
      <c r="G4" s="75"/>
      <c r="H4" s="75"/>
      <c r="I4" s="75"/>
      <c r="J4" s="75"/>
    </row>
    <row r="5" customFormat="false" ht="30" hidden="false" customHeight="true" outlineLevel="0" collapsed="false">
      <c r="A5" s="7" t="s">
        <v>228</v>
      </c>
      <c r="B5" s="7" t="s">
        <v>229</v>
      </c>
      <c r="C5" s="7" t="s">
        <v>230</v>
      </c>
      <c r="D5" s="7" t="s">
        <v>231</v>
      </c>
    </row>
    <row r="6" customFormat="false" ht="34.5" hidden="false" customHeight="true" outlineLevel="0" collapsed="false">
      <c r="A6" s="76" t="s">
        <v>232</v>
      </c>
      <c r="B6" s="77" t="n">
        <v>190</v>
      </c>
      <c r="C6" s="78" t="s">
        <v>233</v>
      </c>
      <c r="D6" s="76" t="s">
        <v>234</v>
      </c>
    </row>
    <row r="7" customFormat="false" ht="34.5" hidden="false" customHeight="true" outlineLevel="0" collapsed="false">
      <c r="A7" s="79" t="s">
        <v>235</v>
      </c>
      <c r="B7" s="80" t="n">
        <v>350</v>
      </c>
      <c r="C7" s="81" t="s">
        <v>233</v>
      </c>
      <c r="D7" s="79" t="s">
        <v>234</v>
      </c>
    </row>
    <row r="8" customFormat="false" ht="23.25" hidden="false" customHeight="true" outlineLevel="0" collapsed="false">
      <c r="A8" s="76" t="s">
        <v>236</v>
      </c>
      <c r="B8" s="82" t="n">
        <f aca="false">B7/B6</f>
        <v>1.84210526315789</v>
      </c>
      <c r="C8" s="78" t="s">
        <v>237</v>
      </c>
      <c r="D8" s="76" t="s">
        <v>238</v>
      </c>
    </row>
    <row r="9" customFormat="false" ht="23.25" hidden="false" customHeight="true" outlineLevel="0" collapsed="false">
      <c r="A9" s="79" t="s">
        <v>239</v>
      </c>
      <c r="B9" s="83" t="n">
        <v>0.215</v>
      </c>
      <c r="C9" s="81" t="s">
        <v>240</v>
      </c>
      <c r="D9" s="79" t="s">
        <v>241</v>
      </c>
    </row>
    <row r="10" customFormat="false" ht="15" hidden="false" customHeight="true" outlineLevel="0" collapsed="false">
      <c r="A10" s="76" t="s">
        <v>242</v>
      </c>
      <c r="B10" s="84" t="n">
        <v>0.065</v>
      </c>
      <c r="C10" s="78" t="s">
        <v>240</v>
      </c>
      <c r="D10" s="76" t="s">
        <v>241</v>
      </c>
    </row>
    <row r="11" customFormat="false" ht="23.25" hidden="false" customHeight="true" outlineLevel="0" collapsed="false">
      <c r="A11" s="79" t="s">
        <v>243</v>
      </c>
      <c r="B11" s="85" t="n">
        <f aca="false">B9-B10</f>
        <v>0.15</v>
      </c>
      <c r="C11" s="81" t="s">
        <v>244</v>
      </c>
      <c r="D11" s="79" t="s">
        <v>245</v>
      </c>
    </row>
    <row r="12" customFormat="false" ht="15" hidden="false" customHeight="true" outlineLevel="0" collapsed="false">
      <c r="A12" s="76" t="s">
        <v>246</v>
      </c>
      <c r="B12" s="86" t="n">
        <v>39</v>
      </c>
      <c r="C12" s="78" t="s">
        <v>247</v>
      </c>
      <c r="D12" s="76" t="s">
        <v>241</v>
      </c>
    </row>
    <row r="13" customFormat="false" ht="15" hidden="false" customHeight="true" outlineLevel="0" collapsed="false">
      <c r="A13" s="79" t="s">
        <v>248</v>
      </c>
      <c r="B13" s="85" t="n">
        <f aca="false">B12/65</f>
        <v>0.6</v>
      </c>
      <c r="C13" s="81" t="s">
        <v>240</v>
      </c>
      <c r="D13" s="79" t="s">
        <v>249</v>
      </c>
    </row>
    <row r="14" customFormat="false" ht="23.25" hidden="false" customHeight="true" outlineLevel="0" collapsed="false">
      <c r="A14" s="76" t="s">
        <v>250</v>
      </c>
      <c r="B14" s="86" t="n">
        <v>5</v>
      </c>
      <c r="C14" s="78" t="s">
        <v>251</v>
      </c>
      <c r="D14" s="76" t="s">
        <v>252</v>
      </c>
    </row>
    <row r="15" customFormat="false" ht="15" hidden="false" customHeight="true" outlineLevel="0" collapsed="false">
      <c r="A15" s="79" t="s">
        <v>253</v>
      </c>
      <c r="B15" s="87" t="n">
        <v>43</v>
      </c>
      <c r="C15" s="81" t="s">
        <v>254</v>
      </c>
      <c r="D15" s="79" t="s">
        <v>255</v>
      </c>
    </row>
    <row r="17" customFormat="false" ht="15" hidden="false" customHeight="true" outlineLevel="0" collapsed="false">
      <c r="A17" s="75" t="s">
        <v>256</v>
      </c>
      <c r="B17" s="75"/>
      <c r="C17" s="75"/>
      <c r="D17" s="75"/>
      <c r="E17" s="75"/>
      <c r="F17" s="75"/>
      <c r="G17" s="75"/>
      <c r="H17" s="75"/>
      <c r="I17" s="75"/>
      <c r="J17" s="75"/>
    </row>
    <row r="18" customFormat="false" ht="30" hidden="false" customHeight="true" outlineLevel="0" collapsed="false">
      <c r="A18" s="7" t="s">
        <v>257</v>
      </c>
      <c r="B18" s="7" t="s">
        <v>258</v>
      </c>
    </row>
    <row r="19" customFormat="false" ht="15" hidden="false" customHeight="true" outlineLevel="0" collapsed="false">
      <c r="A19" s="76" t="s">
        <v>259</v>
      </c>
      <c r="B19" s="84" t="n">
        <v>0.305</v>
      </c>
    </row>
    <row r="20" customFormat="false" ht="15" hidden="false" customHeight="true" outlineLevel="0" collapsed="false">
      <c r="A20" s="79" t="s">
        <v>260</v>
      </c>
      <c r="B20" s="83" t="n">
        <v>0.295</v>
      </c>
    </row>
    <row r="21" customFormat="false" ht="15" hidden="false" customHeight="true" outlineLevel="0" collapsed="false">
      <c r="A21" s="76" t="s">
        <v>261</v>
      </c>
      <c r="B21" s="84" t="n">
        <v>0.095</v>
      </c>
    </row>
    <row r="22" customFormat="false" ht="15" hidden="false" customHeight="true" outlineLevel="0" collapsed="false">
      <c r="A22" s="79" t="s">
        <v>262</v>
      </c>
      <c r="B22" s="83" t="n">
        <v>0.082</v>
      </c>
    </row>
    <row r="23" customFormat="false" ht="15" hidden="false" customHeight="true" outlineLevel="0" collapsed="false">
      <c r="A23" s="76" t="s">
        <v>263</v>
      </c>
      <c r="B23" s="84" t="n">
        <v>0.224</v>
      </c>
    </row>
    <row r="24" customFormat="false" ht="15" hidden="false" customHeight="true" outlineLevel="0" collapsed="false">
      <c r="A24" s="88" t="s">
        <v>264</v>
      </c>
      <c r="B24" s="89" t="n">
        <f aca="false">SUM(B19:B23)</f>
        <v>1.001</v>
      </c>
      <c r="C24" s="41" t="s">
        <v>265</v>
      </c>
    </row>
    <row r="25" customFormat="false" ht="15" hidden="false" customHeight="true" outlineLevel="0" collapsed="false">
      <c r="A25" s="76" t="s">
        <v>266</v>
      </c>
      <c r="B25" s="90" t="n">
        <f aca="false">B19+B20</f>
        <v>0.6</v>
      </c>
    </row>
    <row r="27" customFormat="false" ht="15" hidden="false" customHeight="true" outlineLevel="0" collapsed="false">
      <c r="A27" s="75" t="s">
        <v>267</v>
      </c>
      <c r="B27" s="75"/>
      <c r="C27" s="75"/>
      <c r="D27" s="75"/>
      <c r="E27" s="75"/>
      <c r="F27" s="75"/>
      <c r="G27" s="75"/>
      <c r="H27" s="75"/>
      <c r="I27" s="75"/>
      <c r="J27" s="75"/>
    </row>
    <row r="28" customFormat="false" ht="43.5" hidden="false" customHeight="true" outlineLevel="0" collapsed="false">
      <c r="A28" s="7" t="s">
        <v>46</v>
      </c>
      <c r="B28" s="7" t="s">
        <v>268</v>
      </c>
      <c r="C28" s="7" t="s">
        <v>269</v>
      </c>
      <c r="D28" s="7" t="s">
        <v>270</v>
      </c>
      <c r="E28" s="7" t="s">
        <v>271</v>
      </c>
      <c r="F28" s="7" t="s">
        <v>272</v>
      </c>
      <c r="G28" s="7" t="s">
        <v>273</v>
      </c>
      <c r="H28" s="7" t="s">
        <v>274</v>
      </c>
      <c r="I28" s="7" t="s">
        <v>275</v>
      </c>
    </row>
    <row r="29" customFormat="false" ht="23.25" hidden="false" customHeight="true" outlineLevel="0" collapsed="false">
      <c r="A29" s="88" t="s">
        <v>60</v>
      </c>
      <c r="B29" s="86" t="n">
        <v>12</v>
      </c>
      <c r="C29" s="86" t="n">
        <v>2</v>
      </c>
      <c r="D29" s="86" t="n">
        <v>0</v>
      </c>
      <c r="E29" s="91" t="n">
        <f aca="false">SUM(B29:D29)</f>
        <v>14</v>
      </c>
      <c r="F29" s="90" t="n">
        <f aca="false">B29/E29</f>
        <v>0.857142857142857</v>
      </c>
      <c r="G29" s="77" t="n">
        <v>1086</v>
      </c>
      <c r="H29" s="84" t="n">
        <v>0.096</v>
      </c>
      <c r="I29" s="76" t="s">
        <v>276</v>
      </c>
    </row>
    <row r="30" customFormat="false" ht="23.25" hidden="false" customHeight="true" outlineLevel="0" collapsed="false">
      <c r="A30" s="92" t="s">
        <v>62</v>
      </c>
      <c r="B30" s="87" t="n">
        <v>11</v>
      </c>
      <c r="C30" s="87" t="n">
        <v>2</v>
      </c>
      <c r="D30" s="87" t="n">
        <v>0</v>
      </c>
      <c r="E30" s="93" t="n">
        <f aca="false">SUM(B30:D30)</f>
        <v>13</v>
      </c>
      <c r="F30" s="85" t="n">
        <f aca="false">B30/E30</f>
        <v>0.846153846153846</v>
      </c>
      <c r="G30" s="80" t="n">
        <v>164</v>
      </c>
      <c r="H30" s="83" t="n">
        <v>0.24</v>
      </c>
      <c r="I30" s="79" t="s">
        <v>277</v>
      </c>
    </row>
    <row r="31" customFormat="false" ht="23.25" hidden="false" customHeight="true" outlineLevel="0" collapsed="false">
      <c r="A31" s="88" t="s">
        <v>63</v>
      </c>
      <c r="B31" s="86" t="n">
        <v>8</v>
      </c>
      <c r="C31" s="86" t="n">
        <v>2</v>
      </c>
      <c r="D31" s="86" t="n">
        <v>0</v>
      </c>
      <c r="E31" s="91" t="n">
        <f aca="false">SUM(B31:D31)</f>
        <v>10</v>
      </c>
      <c r="F31" s="90" t="n">
        <f aca="false">B31/E31</f>
        <v>0.8</v>
      </c>
      <c r="G31" s="77" t="n">
        <v>425</v>
      </c>
      <c r="H31" s="84" t="n">
        <v>0.26</v>
      </c>
      <c r="I31" s="76" t="s">
        <v>278</v>
      </c>
    </row>
    <row r="32" customFormat="false" ht="15" hidden="false" customHeight="true" outlineLevel="0" collapsed="false">
      <c r="A32" s="41" t="s">
        <v>279</v>
      </c>
    </row>
    <row r="34" customFormat="false" ht="15" hidden="false" customHeight="true" outlineLevel="0" collapsed="false">
      <c r="A34" s="75" t="s">
        <v>280</v>
      </c>
      <c r="B34" s="75"/>
      <c r="C34" s="75"/>
      <c r="D34" s="75"/>
      <c r="E34" s="75"/>
      <c r="F34" s="75"/>
      <c r="G34" s="75"/>
      <c r="H34" s="75"/>
      <c r="I34" s="75"/>
      <c r="J34" s="75"/>
    </row>
    <row r="35" customFormat="false" ht="31.5" hidden="false" customHeight="true" outlineLevel="0" collapsed="false">
      <c r="A35" s="7" t="s">
        <v>46</v>
      </c>
      <c r="B35" s="7" t="s">
        <v>181</v>
      </c>
      <c r="C35" s="7" t="s">
        <v>281</v>
      </c>
      <c r="D35" s="7" t="s">
        <v>282</v>
      </c>
      <c r="E35" s="7" t="s">
        <v>283</v>
      </c>
      <c r="F35" s="7" t="s">
        <v>284</v>
      </c>
      <c r="G35" s="7" t="s">
        <v>185</v>
      </c>
      <c r="H35" s="7" t="s">
        <v>285</v>
      </c>
      <c r="I35" s="7" t="s">
        <v>186</v>
      </c>
      <c r="J35" s="7" t="s">
        <v>286</v>
      </c>
    </row>
    <row r="36" customFormat="false" ht="15" hidden="false" customHeight="true" outlineLevel="0" collapsed="false">
      <c r="A36" s="88" t="str">
        <f aca="false">A29</f>
        <v>KPR Mill</v>
      </c>
      <c r="B36" s="94" t="n">
        <f aca="false">INDEX('Descriptive Stats'!$B$4:$B$13,MATCH($A36,'Descriptive Stats'!$A$4:$A$13,0))</f>
        <v>0.26862495720227</v>
      </c>
      <c r="C36" s="91" t="n">
        <f aca="false">RANK(B36,'Descriptive Stats'!$B$4:$B$13,1)</f>
        <v>1</v>
      </c>
      <c r="D36" s="94" t="n">
        <f aca="false">AVERAGEIFS('Ratios Panel'!$J$5:$J$104,'Ratios Panel'!$A$5:$A$104,$A36,'Ratios Panel'!$B$5:$B$104,"FY15-16")</f>
        <v>0.601427115188583</v>
      </c>
      <c r="E36" s="94" t="n">
        <f aca="false">AVERAGEIFS('Ratios Panel'!$J$5:$J$104,'Ratios Panel'!$A$5:$A$104,$A36,'Ratios Panel'!$B$5:$B$104,"FY24-25")</f>
        <v>0.0625</v>
      </c>
      <c r="F36" s="95" t="n">
        <f aca="false">E36-D36</f>
        <v>-0.538927115188583</v>
      </c>
      <c r="G36" s="96" t="n">
        <f aca="false">INDEX('Descriptive Stats'!$F$4:$F$13,MATCH($A36,'Descriptive Stats'!$A$4:$A$13,0))</f>
        <v>0.197993796117782</v>
      </c>
      <c r="H36" s="91" t="n">
        <f aca="false">RANK(G36,'Descriptive Stats'!$F$4:$F$13,0)</f>
        <v>1</v>
      </c>
      <c r="I36" s="96" t="n">
        <f aca="false">INDEX('Descriptive Stats'!$G$4:$G$13,MATCH($A36,'Descriptive Stats'!$A$4:$A$13,0))</f>
        <v>0.144014005897975</v>
      </c>
      <c r="J36" s="94" t="n">
        <f aca="false">INDEX('Descriptive Stats'!$C$4:$C$13,MATCH($A36,'Descriptive Stats'!$A$4:$A$13,0))</f>
        <v>0.175714497578238</v>
      </c>
    </row>
    <row r="37" customFormat="false" ht="15" hidden="false" customHeight="true" outlineLevel="0" collapsed="false">
      <c r="A37" s="92" t="str">
        <f aca="false">A30</f>
        <v>Welspun Living</v>
      </c>
      <c r="B37" s="97" t="n">
        <f aca="false">INDEX('Descriptive Stats'!$B$4:$B$13,MATCH($A37,'Descriptive Stats'!$A$4:$A$13,0))</f>
        <v>0.780918419080599</v>
      </c>
      <c r="C37" s="93" t="n">
        <f aca="false">RANK(B37,'Descriptive Stats'!$B$4:$B$13,1)</f>
        <v>7</v>
      </c>
      <c r="D37" s="97" t="n">
        <f aca="false">AVERAGEIFS('Ratios Panel'!$J$5:$J$104,'Ratios Panel'!$A$5:$A$104,$A37,'Ratios Panel'!$B$5:$B$104,"FY15-16")</f>
        <v>1.35123749341759</v>
      </c>
      <c r="E37" s="97" t="n">
        <f aca="false">AVERAGEIFS('Ratios Panel'!$J$5:$J$104,'Ratios Panel'!$A$5:$A$104,$A37,'Ratios Panel'!$B$5:$B$104,"FY24-25")</f>
        <v>0.429705505761844</v>
      </c>
      <c r="F37" s="98" t="n">
        <f aca="false">E37-D37</f>
        <v>-0.921531987655744</v>
      </c>
      <c r="G37" s="99" t="n">
        <f aca="false">INDEX('Descriptive Stats'!$F$4:$F$13,MATCH($A37,'Descriptive Stats'!$A$4:$A$13,0))</f>
        <v>0.142806500961306</v>
      </c>
      <c r="H37" s="93" t="n">
        <f aca="false">RANK(G37,'Descriptive Stats'!$F$4:$F$13,0)</f>
        <v>5</v>
      </c>
      <c r="I37" s="99" t="n">
        <f aca="false">INDEX('Descriptive Stats'!$G$4:$G$13,MATCH($A37,'Descriptive Stats'!$A$4:$A$13,0))</f>
        <v>0.0632118651589881</v>
      </c>
      <c r="J37" s="97" t="n">
        <f aca="false">INDEX('Descriptive Stats'!$C$4:$C$13,MATCH($A37,'Descriptive Stats'!$A$4:$A$13,0))</f>
        <v>0.373435859407386</v>
      </c>
    </row>
    <row r="38" customFormat="false" ht="15" hidden="false" customHeight="true" outlineLevel="0" collapsed="false">
      <c r="A38" s="88" t="str">
        <f aca="false">A31</f>
        <v>Indo Count Industries</v>
      </c>
      <c r="B38" s="94" t="n">
        <f aca="false">INDEX('Descriptive Stats'!$B$4:$B$13,MATCH($A38,'Descriptive Stats'!$A$4:$A$13,0))</f>
        <v>0.456680519551259</v>
      </c>
      <c r="C38" s="91" t="n">
        <f aca="false">RANK(B38,'Descriptive Stats'!$B$4:$B$13,1)</f>
        <v>4</v>
      </c>
      <c r="D38" s="94" t="n">
        <f aca="false">AVERAGEIFS('Ratios Panel'!$J$5:$J$104,'Ratios Panel'!$A$5:$A$104,$A38,'Ratios Panel'!$B$5:$B$104,"FY15-16")</f>
        <v>0.554649265905383</v>
      </c>
      <c r="E38" s="94" t="n">
        <f aca="false">AVERAGEIFS('Ratios Panel'!$J$5:$J$104,'Ratios Panel'!$A$5:$A$104,$A38,'Ratios Panel'!$B$5:$B$104,"FY24-25")</f>
        <v>0.474295932051855</v>
      </c>
      <c r="F38" s="95" t="n">
        <f aca="false">E38-D38</f>
        <v>-0.0803533338535282</v>
      </c>
      <c r="G38" s="96" t="n">
        <f aca="false">INDEX('Descriptive Stats'!$F$4:$F$13,MATCH($A38,'Descriptive Stats'!$A$4:$A$13,0))</f>
        <v>0.175775522181753</v>
      </c>
      <c r="H38" s="91" t="n">
        <f aca="false">RANK(G38,'Descriptive Stats'!$F$4:$F$13,0)</f>
        <v>2</v>
      </c>
      <c r="I38" s="96" t="n">
        <f aca="false">INDEX('Descriptive Stats'!$G$4:$G$13,MATCH($A38,'Descriptive Stats'!$A$4:$A$13,0))</f>
        <v>0.0967096957198923</v>
      </c>
      <c r="J38" s="94" t="n">
        <f aca="false">INDEX('Descriptive Stats'!$C$4:$C$13,MATCH($A38,'Descriptive Stats'!$A$4:$A$13,0))</f>
        <v>0.133006808117797</v>
      </c>
    </row>
    <row r="40" customFormat="false" ht="15" hidden="false" customHeight="true" outlineLevel="0" collapsed="false">
      <c r="A40" s="75" t="s">
        <v>287</v>
      </c>
      <c r="B40" s="75"/>
      <c r="C40" s="75"/>
      <c r="D40" s="75"/>
      <c r="E40" s="75"/>
      <c r="F40" s="75"/>
      <c r="G40" s="75"/>
      <c r="H40" s="75"/>
      <c r="I40" s="75"/>
      <c r="J40" s="75"/>
    </row>
    <row r="41" customFormat="false" ht="30" hidden="false" customHeight="true" outlineLevel="0" collapsed="false">
      <c r="A41" s="7" t="s">
        <v>288</v>
      </c>
      <c r="B41" s="7" t="s">
        <v>289</v>
      </c>
      <c r="C41" s="7" t="s">
        <v>181</v>
      </c>
      <c r="D41" s="7" t="s">
        <v>185</v>
      </c>
      <c r="E41" s="7" t="s">
        <v>186</v>
      </c>
    </row>
    <row r="42" customFormat="false" ht="15" hidden="false" customHeight="true" outlineLevel="0" collapsed="false">
      <c r="A42" s="88" t="s">
        <v>290</v>
      </c>
      <c r="B42" s="91" t="n">
        <f aca="false">SUMPRODUCT(--ISNUMBER(MATCH('Ratios Panel'!$A$5:$A$104,$A$29:$A$31,0)))</f>
        <v>30</v>
      </c>
      <c r="C42" s="94" t="n">
        <f aca="false">SUMPRODUCT(ISNUMBER(MATCH('Ratios Panel'!$A$5:$A$104,$A$29:$A$31,0))*'Ratios Panel'!$J$5:$J$104)/$B$42</f>
        <v>0.502074631944709</v>
      </c>
      <c r="D42" s="96" t="n">
        <f aca="false">SUMPRODUCT(ISNUMBER(MATCH('Ratios Panel'!$A$5:$A$104,$A$29:$A$31,0))*'Ratios Panel'!$K$5:$K$104)/$B$42</f>
        <v>0.172191939753614</v>
      </c>
      <c r="E42" s="96" t="n">
        <f aca="false">SUMPRODUCT(ISNUMBER(MATCH('Ratios Panel'!$A$5:$A$104,$A$29:$A$31,0))*'Ratios Panel'!$L$5:$L$104)/$B$42</f>
        <v>0.101311855592285</v>
      </c>
    </row>
    <row r="43" customFormat="false" ht="15" hidden="false" customHeight="true" outlineLevel="0" collapsed="false">
      <c r="A43" s="92" t="s">
        <v>291</v>
      </c>
      <c r="B43" s="93" t="n">
        <f aca="false">COUNTA('Ratios Panel'!$A$5:$A$104)-B42</f>
        <v>70</v>
      </c>
      <c r="C43" s="97" t="n">
        <f aca="false">(SUM('Ratios Panel'!$J$5:$J$104)-C42*$B$42)/$B$43</f>
        <v>0.859755654836792</v>
      </c>
      <c r="D43" s="99" t="n">
        <f aca="false">(SUM('Ratios Panel'!$K$5:$K$104)-D42*$B$42)/$B$43</f>
        <v>0.106887627540642</v>
      </c>
      <c r="E43" s="99" t="n">
        <f aca="false">(SUM('Ratios Panel'!$L$5:$L$104)-E42*$B$42)/$B$43</f>
        <v>0.0565458380929541</v>
      </c>
    </row>
    <row r="44" customFormat="false" ht="15" hidden="false" customHeight="true" outlineLevel="0" collapsed="false">
      <c r="A44" s="88" t="s">
        <v>292</v>
      </c>
      <c r="B44" s="91" t="n">
        <f aca="false">COUNTA('Ratios Panel'!$A$5:$A$104)</f>
        <v>100</v>
      </c>
      <c r="C44" s="94" t="n">
        <f aca="false">AVERAGE('Ratios Panel'!$J$5:$J$104)</f>
        <v>0.752451347969168</v>
      </c>
      <c r="D44" s="96" t="n">
        <f aca="false">AVERAGE('Ratios Panel'!$K$5:$K$104)</f>
        <v>0.126478921204533</v>
      </c>
      <c r="E44" s="96" t="n">
        <f aca="false">AVERAGE('Ratios Panel'!$L$5:$L$104)</f>
        <v>0.0699756433427535</v>
      </c>
    </row>
    <row r="45" customFormat="false" ht="15" hidden="false" customHeight="true" outlineLevel="0" collapsed="false">
      <c r="A45" s="92" t="s">
        <v>293</v>
      </c>
      <c r="B45" s="81"/>
      <c r="C45" s="100" t="n">
        <f aca="false">C42-C43</f>
        <v>-0.357681022892083</v>
      </c>
      <c r="D45" s="101" t="n">
        <f aca="false">D42-D43</f>
        <v>0.0653043122129723</v>
      </c>
      <c r="E45" s="101" t="n">
        <f aca="false">E42-E43</f>
        <v>0.0447660174993311</v>
      </c>
    </row>
    <row r="47" customFormat="false" ht="15" hidden="false" customHeight="true" outlineLevel="0" collapsed="false">
      <c r="A47" s="75" t="s">
        <v>294</v>
      </c>
      <c r="B47" s="75"/>
      <c r="C47" s="75"/>
      <c r="D47" s="75"/>
      <c r="E47" s="75"/>
      <c r="F47" s="75"/>
      <c r="G47" s="75"/>
      <c r="H47" s="75"/>
      <c r="I47" s="75"/>
      <c r="J47" s="75"/>
    </row>
    <row r="48" customFormat="false" ht="31.5" hidden="false" customHeight="true" outlineLevel="0" collapsed="false">
      <c r="A48" s="7" t="s">
        <v>204</v>
      </c>
      <c r="B48" s="7" t="s">
        <v>295</v>
      </c>
      <c r="C48" s="7" t="s">
        <v>296</v>
      </c>
      <c r="D48" s="7" t="s">
        <v>297</v>
      </c>
      <c r="E48" s="7" t="s">
        <v>298</v>
      </c>
      <c r="F48" s="7" t="s">
        <v>299</v>
      </c>
      <c r="G48" s="7" t="s">
        <v>300</v>
      </c>
      <c r="H48" s="7" t="s">
        <v>301</v>
      </c>
      <c r="I48" s="7" t="s">
        <v>209</v>
      </c>
    </row>
    <row r="49" customFormat="false" ht="15" hidden="false" customHeight="true" outlineLevel="0" collapsed="false">
      <c r="A49" s="88" t="s">
        <v>302</v>
      </c>
      <c r="B49" s="102" t="n">
        <f aca="false">C42</f>
        <v>0.502074631944709</v>
      </c>
      <c r="C49" s="102" t="n">
        <f aca="false">C43</f>
        <v>0.859755654836792</v>
      </c>
      <c r="D49" s="103" t="n">
        <f aca="false">SUMPRODUCT(ISNUMBER(MATCH('Ratios Panel'!$A$5:$A$104,$A$29:$A$31,0))*('Ratios Panel'!$J$5:$J$104-B49)^2)/($B$42-1)</f>
        <v>0.104666171304206</v>
      </c>
      <c r="E49" s="103" t="n">
        <f aca="false">SUMPRODUCT((1-ISNUMBER(MATCH('Ratios Panel'!$A$5:$A$104,$A$29:$A$31,0)))*('Ratios Panel'!$J$5:$J$104-C49)^2)/($B$43-1)</f>
        <v>0.435273566196033</v>
      </c>
      <c r="F49" s="95" t="n">
        <f aca="false">(B49-C49)/SQRT(D49/$B$42+E49/$B$43)</f>
        <v>-3.63037847531489</v>
      </c>
      <c r="G49" s="104" t="n">
        <f aca="false">(D49/$B$42+E49/$B$43)^2/((D49/$B$42)^2/($B$42-1)+(E49/$B$43)^2/($B$43-1))</f>
        <v>96.1395472254795</v>
      </c>
      <c r="H49" s="102" t="n">
        <f aca="false">TDIST(ABS(F49),G49,2)</f>
        <v>0.000456222943181527</v>
      </c>
      <c r="I49" s="78" t="str">
        <f aca="false">IF(H49&lt;0.05,"Yes","No")</f>
        <v>Yes</v>
      </c>
    </row>
    <row r="50" customFormat="false" ht="15" hidden="false" customHeight="true" outlineLevel="0" collapsed="false">
      <c r="A50" s="92" t="s">
        <v>93</v>
      </c>
      <c r="B50" s="105" t="n">
        <f aca="false">D42</f>
        <v>0.172191939753614</v>
      </c>
      <c r="C50" s="105" t="n">
        <f aca="false">D43</f>
        <v>0.106887627540642</v>
      </c>
      <c r="D50" s="106" t="n">
        <f aca="false">SUMPRODUCT(ISNUMBER(MATCH('Ratios Panel'!$A$5:$A$104,$A$29:$A$31,0))*('Ratios Panel'!$K$5:$K$104-B50)^2)/($B$42-1)</f>
        <v>0.00610250810284245</v>
      </c>
      <c r="E50" s="106" t="n">
        <f aca="false">SUMPRODUCT((1-ISNUMBER(MATCH('Ratios Panel'!$A$5:$A$104,$A$29:$A$31,0)))*('Ratios Panel'!$K$5:$K$104-C50)^2)/($B$43-1)</f>
        <v>0.0101508622268068</v>
      </c>
      <c r="F50" s="98" t="n">
        <f aca="false">(B50-C50)/SQRT(D50/$B$42+E50/$B$43)</f>
        <v>3.49852155558093</v>
      </c>
      <c r="G50" s="107" t="n">
        <f aca="false">(D50/$B$42+E50/$B$43)^2/((D50/$B$42)^2/($B$42-1)+(E50/$B$43)^2/($B$43-1))</f>
        <v>70.1100675146742</v>
      </c>
      <c r="H50" s="105" t="n">
        <f aca="false">TDIST(ABS(F50),G50,2)</f>
        <v>0.000817636620365715</v>
      </c>
      <c r="I50" s="81" t="str">
        <f aca="false">IF(H50&lt;0.05,"Yes","No")</f>
        <v>Yes</v>
      </c>
    </row>
    <row r="51" customFormat="false" ht="15" hidden="false" customHeight="true" outlineLevel="0" collapsed="false">
      <c r="A51" s="88" t="s">
        <v>94</v>
      </c>
      <c r="B51" s="102" t="n">
        <f aca="false">E42</f>
        <v>0.101311855592285</v>
      </c>
      <c r="C51" s="102" t="n">
        <f aca="false">E43</f>
        <v>0.0565458380929541</v>
      </c>
      <c r="D51" s="103" t="n">
        <f aca="false">SUMPRODUCT(ISNUMBER(MATCH('Ratios Panel'!$A$5:$A$104,$A$29:$A$31,0))*('Ratios Panel'!$L$5:$L$104-B51)^2)/($B$42-1)</f>
        <v>0.00250322545148365</v>
      </c>
      <c r="E51" s="103" t="n">
        <f aca="false">SUMPRODUCT((1-ISNUMBER(MATCH('Ratios Panel'!$A$5:$A$104,$A$29:$A$31,0)))*('Ratios Panel'!$L$5:$L$104-C51)^2)/($B$43-1)</f>
        <v>0.0021274111026253</v>
      </c>
      <c r="F51" s="95" t="n">
        <f aca="false">(B51-C51)/SQRT(D51/$B$42+E51/$B$43)</f>
        <v>4.19580644838816</v>
      </c>
      <c r="G51" s="104" t="n">
        <f aca="false">(D51/$B$42+E51/$B$43)^2/((D51/$B$42)^2/($B$42-1)+(E51/$B$43)^2/($B$43-1))</f>
        <v>51.1221044217043</v>
      </c>
      <c r="H51" s="102" t="n">
        <f aca="false">TDIST(ABS(F51),G51,2)</f>
        <v>0.000108685548329318</v>
      </c>
      <c r="I51" s="78" t="str">
        <f aca="false">IF(H51&lt;0.05,"Yes","No")</f>
        <v>Yes</v>
      </c>
    </row>
    <row r="52" customFormat="false" ht="21.75" hidden="false" customHeight="true" outlineLevel="0" collapsed="false">
      <c r="A52" s="59" t="s">
        <v>303</v>
      </c>
      <c r="B52" s="59"/>
      <c r="C52" s="59"/>
      <c r="D52" s="59"/>
      <c r="E52" s="59"/>
      <c r="F52" s="59"/>
      <c r="G52" s="59"/>
      <c r="H52" s="59"/>
      <c r="I52" s="59"/>
      <c r="J52" s="59"/>
    </row>
    <row r="53" customFormat="false" ht="21.75" hidden="false" customHeight="true" outlineLevel="0" collapsed="false">
      <c r="A53" s="59"/>
      <c r="B53" s="59"/>
      <c r="C53" s="59"/>
      <c r="D53" s="59"/>
      <c r="E53" s="59"/>
      <c r="F53" s="59"/>
      <c r="G53" s="59"/>
      <c r="H53" s="59"/>
      <c r="I53" s="59"/>
      <c r="J53" s="59"/>
    </row>
    <row r="55" customFormat="false" ht="15" hidden="false" customHeight="true" outlineLevel="0" collapsed="false">
      <c r="A55" s="75" t="s">
        <v>304</v>
      </c>
      <c r="B55" s="75"/>
      <c r="C55" s="75"/>
      <c r="D55" s="75"/>
      <c r="E55" s="75"/>
      <c r="F55" s="75"/>
      <c r="G55" s="75"/>
      <c r="H55" s="75"/>
      <c r="I55" s="75"/>
      <c r="J55" s="75"/>
    </row>
    <row r="56" customFormat="false" ht="31.5" hidden="false" customHeight="true" outlineLevel="0" collapsed="false">
      <c r="A56" s="88" t="s">
        <v>60</v>
      </c>
      <c r="B56" s="108" t="s">
        <v>305</v>
      </c>
      <c r="C56" s="108"/>
      <c r="D56" s="108"/>
      <c r="E56" s="108"/>
      <c r="F56" s="108"/>
      <c r="G56" s="108"/>
      <c r="H56" s="108"/>
      <c r="I56" s="108"/>
      <c r="J56" s="108"/>
    </row>
    <row r="57" customFormat="false" ht="31.5" hidden="false" customHeight="true" outlineLevel="0" collapsed="false">
      <c r="A57" s="88" t="s">
        <v>63</v>
      </c>
      <c r="B57" s="108" t="s">
        <v>306</v>
      </c>
      <c r="C57" s="108"/>
      <c r="D57" s="108"/>
      <c r="E57" s="108"/>
      <c r="F57" s="108"/>
      <c r="G57" s="108"/>
      <c r="H57" s="108"/>
      <c r="I57" s="108"/>
      <c r="J57" s="108"/>
    </row>
    <row r="58" customFormat="false" ht="31.5" hidden="false" customHeight="true" outlineLevel="0" collapsed="false">
      <c r="A58" s="88" t="s">
        <v>62</v>
      </c>
      <c r="B58" s="108" t="s">
        <v>307</v>
      </c>
      <c r="C58" s="108"/>
      <c r="D58" s="108"/>
      <c r="E58" s="108"/>
      <c r="F58" s="108"/>
      <c r="G58" s="108"/>
      <c r="H58" s="108"/>
      <c r="I58" s="108"/>
      <c r="J58" s="108"/>
    </row>
    <row r="59" customFormat="false" ht="31.5" hidden="false" customHeight="true" outlineLevel="0" collapsed="false">
      <c r="A59" s="88" t="s">
        <v>308</v>
      </c>
      <c r="B59" s="108" t="s">
        <v>309</v>
      </c>
      <c r="C59" s="108"/>
      <c r="D59" s="108"/>
      <c r="E59" s="108"/>
      <c r="F59" s="108"/>
      <c r="G59" s="108"/>
      <c r="H59" s="108"/>
      <c r="I59" s="108"/>
      <c r="J59" s="108"/>
    </row>
  </sheetData>
  <mergeCells count="14">
    <mergeCell ref="A1:J1"/>
    <mergeCell ref="A2:J2"/>
    <mergeCell ref="A4:J4"/>
    <mergeCell ref="A17:J17"/>
    <mergeCell ref="A27:J27"/>
    <mergeCell ref="A34:J34"/>
    <mergeCell ref="A40:J40"/>
    <mergeCell ref="A47:J47"/>
    <mergeCell ref="A52:J53"/>
    <mergeCell ref="A55:J55"/>
    <mergeCell ref="B56:J56"/>
    <mergeCell ref="B57:J57"/>
    <mergeCell ref="B58:J58"/>
    <mergeCell ref="B59:J59"/>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46"/>
    <col collapsed="false" customWidth="true" hidden="false" outlineLevel="0" max="3" min="3" style="0" width="44"/>
    <col collapsed="false" customWidth="true" hidden="false" outlineLevel="0" max="4" min="4" style="0" width="46"/>
  </cols>
  <sheetData>
    <row r="1" customFormat="false" ht="17.35" hidden="false" customHeight="false" outlineLevel="0" collapsed="false">
      <c r="A1" s="61" t="s">
        <v>310</v>
      </c>
      <c r="B1" s="61"/>
      <c r="C1" s="61"/>
      <c r="D1" s="61"/>
      <c r="E1" s="61"/>
      <c r="F1" s="61"/>
    </row>
    <row r="2" customFormat="false" ht="30" hidden="false" customHeight="true" outlineLevel="0" collapsed="false">
      <c r="A2" s="62" t="s">
        <v>311</v>
      </c>
      <c r="B2" s="62"/>
      <c r="C2" s="62"/>
      <c r="D2" s="62"/>
      <c r="E2" s="62"/>
      <c r="F2" s="62"/>
    </row>
    <row r="4" customFormat="false" ht="15" hidden="false" customHeight="false" outlineLevel="0" collapsed="false">
      <c r="A4" s="7" t="s">
        <v>312</v>
      </c>
      <c r="B4" s="7" t="s">
        <v>313</v>
      </c>
      <c r="C4" s="7" t="s">
        <v>314</v>
      </c>
      <c r="D4" s="7" t="s">
        <v>315</v>
      </c>
    </row>
    <row r="5" customFormat="false" ht="48" hidden="false" customHeight="true" outlineLevel="0" collapsed="false">
      <c r="A5" s="109" t="s">
        <v>316</v>
      </c>
      <c r="B5" s="9" t="s">
        <v>317</v>
      </c>
      <c r="C5" s="9" t="s">
        <v>318</v>
      </c>
      <c r="D5" s="9" t="s">
        <v>319</v>
      </c>
    </row>
    <row r="6" customFormat="false" ht="48" hidden="false" customHeight="true" outlineLevel="0" collapsed="false">
      <c r="A6" s="110" t="s">
        <v>320</v>
      </c>
      <c r="B6" s="11" t="s">
        <v>321</v>
      </c>
      <c r="C6" s="11" t="s">
        <v>322</v>
      </c>
      <c r="D6" s="11" t="s">
        <v>323</v>
      </c>
    </row>
    <row r="7" customFormat="false" ht="48" hidden="false" customHeight="true" outlineLevel="0" collapsed="false">
      <c r="A7" s="109" t="s">
        <v>324</v>
      </c>
      <c r="B7" s="9" t="s">
        <v>325</v>
      </c>
      <c r="C7" s="9" t="s">
        <v>326</v>
      </c>
      <c r="D7" s="9" t="s">
        <v>327</v>
      </c>
    </row>
    <row r="8" customFormat="false" ht="33.75" hidden="false" customHeight="true" outlineLevel="0" collapsed="false">
      <c r="A8" s="110" t="s">
        <v>328</v>
      </c>
      <c r="B8" s="11" t="s">
        <v>329</v>
      </c>
      <c r="C8" s="11" t="s">
        <v>330</v>
      </c>
      <c r="D8" s="11" t="s">
        <v>323</v>
      </c>
    </row>
    <row r="9" customFormat="false" ht="61.5" hidden="false" customHeight="true" outlineLevel="0" collapsed="false">
      <c r="A9" s="109" t="s">
        <v>331</v>
      </c>
      <c r="B9" s="9" t="s">
        <v>332</v>
      </c>
      <c r="C9" s="9" t="s">
        <v>333</v>
      </c>
      <c r="D9" s="9" t="s">
        <v>334</v>
      </c>
    </row>
    <row r="10" customFormat="false" ht="33.75" hidden="false" customHeight="true" outlineLevel="0" collapsed="false">
      <c r="A10" s="110" t="s">
        <v>335</v>
      </c>
      <c r="B10" s="11" t="s">
        <v>336</v>
      </c>
      <c r="C10" s="11" t="s">
        <v>337</v>
      </c>
      <c r="D10" s="11" t="s">
        <v>327</v>
      </c>
    </row>
    <row r="11" customFormat="false" ht="48" hidden="false" customHeight="true" outlineLevel="0" collapsed="false">
      <c r="A11" s="109" t="s">
        <v>338</v>
      </c>
      <c r="B11" s="9" t="s">
        <v>339</v>
      </c>
      <c r="C11" s="9" t="s">
        <v>340</v>
      </c>
      <c r="D11" s="9" t="s">
        <v>341</v>
      </c>
    </row>
    <row r="12" customFormat="false" ht="48" hidden="false" customHeight="true" outlineLevel="0" collapsed="false">
      <c r="A12" s="110" t="s">
        <v>342</v>
      </c>
      <c r="B12" s="11" t="s">
        <v>339</v>
      </c>
      <c r="C12" s="11" t="s">
        <v>343</v>
      </c>
      <c r="D12" s="11" t="s">
        <v>341</v>
      </c>
    </row>
    <row r="15" customFormat="false" ht="15" hidden="false" customHeight="false" outlineLevel="0" collapsed="false">
      <c r="A15" s="63" t="s">
        <v>344</v>
      </c>
      <c r="B15" s="63"/>
      <c r="C15" s="63"/>
      <c r="D15" s="63"/>
      <c r="E15" s="63"/>
      <c r="F15" s="63"/>
    </row>
    <row r="16" customFormat="false" ht="15" hidden="false" customHeight="false" outlineLevel="0" collapsed="false">
      <c r="A16" s="111" t="s">
        <v>345</v>
      </c>
      <c r="B16" s="112" t="n">
        <f aca="false">'Raw Data'!E26</f>
        <v>907</v>
      </c>
    </row>
    <row r="17" customFormat="false" ht="15" hidden="false" customHeight="false" outlineLevel="0" collapsed="false">
      <c r="A17" s="111" t="s">
        <v>346</v>
      </c>
      <c r="B17" s="112" t="n">
        <f aca="false">'Raw Data'!I26</f>
        <v>1678</v>
      </c>
    </row>
    <row r="18" customFormat="false" ht="15" hidden="false" customHeight="false" outlineLevel="0" collapsed="false">
      <c r="A18" s="111" t="s">
        <v>347</v>
      </c>
      <c r="B18" s="113" t="n">
        <v>0.09</v>
      </c>
    </row>
    <row r="19" customFormat="false" ht="15" hidden="false" customHeight="false" outlineLevel="0" collapsed="false">
      <c r="A19" s="111" t="s">
        <v>348</v>
      </c>
      <c r="B19" s="113" t="n">
        <v>0.14</v>
      </c>
    </row>
    <row r="20" customFormat="false" ht="15" hidden="false" customHeight="false" outlineLevel="0" collapsed="false">
      <c r="A20" s="111" t="s">
        <v>349</v>
      </c>
      <c r="B20" s="113" t="n">
        <v>0.12</v>
      </c>
    </row>
    <row r="21" customFormat="false" ht="15" hidden="false" customHeight="false" outlineLevel="0" collapsed="false">
      <c r="A21" s="111" t="s">
        <v>350</v>
      </c>
      <c r="B21" s="114" t="n">
        <v>0.2517</v>
      </c>
    </row>
    <row r="22" customFormat="false" ht="15" hidden="false" customHeight="false" outlineLevel="0" collapsed="false">
      <c r="A22" s="111" t="s">
        <v>351</v>
      </c>
      <c r="B22" s="115" t="n">
        <v>150</v>
      </c>
    </row>
    <row r="24" customFormat="false" ht="15" hidden="false" customHeight="false" outlineLevel="0" collapsed="false">
      <c r="A24" s="7" t="s">
        <v>352</v>
      </c>
      <c r="B24" s="7" t="s">
        <v>353</v>
      </c>
      <c r="C24" s="7" t="s">
        <v>354</v>
      </c>
      <c r="D24" s="7" t="s">
        <v>355</v>
      </c>
    </row>
    <row r="25" customFormat="false" ht="15" hidden="false" customHeight="false" outlineLevel="0" collapsed="false">
      <c r="A25" s="116" t="s">
        <v>356</v>
      </c>
      <c r="B25" s="117" t="s">
        <v>357</v>
      </c>
      <c r="C25" s="118" t="n">
        <f aca="false">$B$18*$B$17</f>
        <v>151.02</v>
      </c>
      <c r="D25" s="117" t="s">
        <v>358</v>
      </c>
    </row>
    <row r="26" customFormat="false" ht="15" hidden="false" customHeight="false" outlineLevel="0" collapsed="false">
      <c r="A26" s="119" t="s">
        <v>359</v>
      </c>
      <c r="B26" s="120" t="s">
        <v>360</v>
      </c>
      <c r="C26" s="121" t="n">
        <f aca="false">($B$16-C25)/$B$19</f>
        <v>5399.85714285714</v>
      </c>
      <c r="D26" s="120" t="s">
        <v>361</v>
      </c>
    </row>
    <row r="27" customFormat="false" ht="15" hidden="false" customHeight="false" outlineLevel="0" collapsed="false">
      <c r="A27" s="116" t="s">
        <v>359</v>
      </c>
      <c r="B27" s="117" t="s">
        <v>362</v>
      </c>
      <c r="C27" s="118" t="n">
        <f aca="false">C26+$B$17</f>
        <v>7077.85714285714</v>
      </c>
      <c r="D27" s="117" t="s">
        <v>363</v>
      </c>
    </row>
    <row r="28" customFormat="false" ht="15" hidden="false" customHeight="false" outlineLevel="0" collapsed="false">
      <c r="A28" s="119" t="s">
        <v>359</v>
      </c>
      <c r="B28" s="120" t="s">
        <v>364</v>
      </c>
      <c r="C28" s="122" t="n">
        <f aca="false">$B$16/C27</f>
        <v>0.128146129781007</v>
      </c>
      <c r="D28" s="120" t="s">
        <v>365</v>
      </c>
    </row>
    <row r="29" customFormat="false" ht="15" hidden="false" customHeight="false" outlineLevel="0" collapsed="false">
      <c r="A29" s="116" t="s">
        <v>366</v>
      </c>
      <c r="B29" s="117" t="s">
        <v>362</v>
      </c>
      <c r="C29" s="118" t="n">
        <f aca="false">$B$16/$B$20</f>
        <v>7558.33333333333</v>
      </c>
      <c r="D29" s="117" t="s">
        <v>367</v>
      </c>
    </row>
    <row r="30" customFormat="false" ht="15" hidden="false" customHeight="false" outlineLevel="0" collapsed="false">
      <c r="A30" s="119" t="s">
        <v>366</v>
      </c>
      <c r="B30" s="120" t="s">
        <v>360</v>
      </c>
      <c r="C30" s="121" t="n">
        <f aca="false">C29-$B$17</f>
        <v>5880.33333333333</v>
      </c>
      <c r="D30" s="120" t="s">
        <v>368</v>
      </c>
    </row>
    <row r="31" customFormat="false" ht="15" hidden="false" customHeight="false" outlineLevel="0" collapsed="false">
      <c r="A31" s="116" t="s">
        <v>366</v>
      </c>
      <c r="B31" s="117" t="s">
        <v>369</v>
      </c>
      <c r="C31" s="123" t="n">
        <f aca="false">($B$16-C25)/C30</f>
        <v>0.128560739187121</v>
      </c>
      <c r="D31" s="117" t="s">
        <v>370</v>
      </c>
    </row>
    <row r="32" customFormat="false" ht="15" hidden="false" customHeight="false" outlineLevel="0" collapsed="false">
      <c r="A32" s="119" t="s">
        <v>371</v>
      </c>
      <c r="B32" s="120" t="s">
        <v>372</v>
      </c>
      <c r="C32" s="122" t="n">
        <f aca="false">$B$20+($B$20-$B$18)*$B$17/C30</f>
        <v>0.128560739187121</v>
      </c>
      <c r="D32" s="120" t="s">
        <v>373</v>
      </c>
    </row>
    <row r="33" customFormat="false" ht="15" hidden="false" customHeight="false" outlineLevel="0" collapsed="false">
      <c r="A33" s="116" t="s">
        <v>374</v>
      </c>
      <c r="B33" s="117" t="s">
        <v>375</v>
      </c>
      <c r="C33" s="118" t="n">
        <f aca="false">$B$16*(1-$B$21)/$B$20</f>
        <v>5655.90083333333</v>
      </c>
      <c r="D33" s="117" t="s">
        <v>376</v>
      </c>
    </row>
    <row r="34" customFormat="false" ht="15" hidden="false" customHeight="false" outlineLevel="0" collapsed="false">
      <c r="A34" s="119" t="s">
        <v>374</v>
      </c>
      <c r="B34" s="120" t="s">
        <v>377</v>
      </c>
      <c r="C34" s="121" t="n">
        <f aca="false">$B$17*$B$21</f>
        <v>422.3526</v>
      </c>
      <c r="D34" s="120" t="s">
        <v>378</v>
      </c>
    </row>
    <row r="35" customFormat="false" ht="15" hidden="false" customHeight="false" outlineLevel="0" collapsed="false">
      <c r="A35" s="116" t="s">
        <v>374</v>
      </c>
      <c r="B35" s="117" t="s">
        <v>379</v>
      </c>
      <c r="C35" s="118" t="n">
        <f aca="false">C33+C34</f>
        <v>6078.25343333333</v>
      </c>
      <c r="D35" s="117" t="s">
        <v>380</v>
      </c>
    </row>
    <row r="36" customFormat="false" ht="15" hidden="false" customHeight="false" outlineLevel="0" collapsed="false">
      <c r="A36" s="119" t="s">
        <v>374</v>
      </c>
      <c r="B36" s="120" t="s">
        <v>360</v>
      </c>
      <c r="C36" s="121" t="n">
        <f aca="false">C35-$B$17</f>
        <v>4400.25343333333</v>
      </c>
      <c r="D36" s="120" t="s">
        <v>381</v>
      </c>
    </row>
    <row r="37" customFormat="false" ht="15" hidden="false" customHeight="false" outlineLevel="0" collapsed="false">
      <c r="A37" s="116" t="s">
        <v>374</v>
      </c>
      <c r="B37" s="117" t="s">
        <v>382</v>
      </c>
      <c r="C37" s="123" t="n">
        <f aca="false">$B$20+($B$20-$B$18)*(1-$B$21)*$B$17/C36</f>
        <v>0.128560739187121</v>
      </c>
      <c r="D37" s="117" t="s">
        <v>383</v>
      </c>
    </row>
    <row r="38" customFormat="false" ht="15" hidden="false" customHeight="false" outlineLevel="0" collapsed="false">
      <c r="A38" s="119" t="s">
        <v>374</v>
      </c>
      <c r="B38" s="120" t="s">
        <v>384</v>
      </c>
      <c r="C38" s="122" t="n">
        <f aca="false">C37*C36/C35+$B$18*(1-$B$21)*$B$17/C35</f>
        <v>0.111661698124982</v>
      </c>
      <c r="D38" s="120" t="s">
        <v>385</v>
      </c>
    </row>
    <row r="39" customFormat="false" ht="15" hidden="false" customHeight="false" outlineLevel="0" collapsed="false">
      <c r="A39" s="116" t="s">
        <v>386</v>
      </c>
      <c r="B39" s="117" t="s">
        <v>379</v>
      </c>
      <c r="C39" s="118" t="n">
        <f aca="false">C33+C34-$B$22</f>
        <v>5928.25343333333</v>
      </c>
      <c r="D39" s="117" t="s">
        <v>387</v>
      </c>
    </row>
    <row r="41" customFormat="false" ht="15" hidden="false" customHeight="true" outlineLevel="0" collapsed="false">
      <c r="A41" s="74" t="s">
        <v>388</v>
      </c>
      <c r="B41" s="74"/>
      <c r="C41" s="74"/>
      <c r="D41" s="74"/>
      <c r="E41" s="74"/>
      <c r="F41" s="74"/>
    </row>
    <row r="42" customFormat="false" ht="15" hidden="false" customHeight="false" outlineLevel="0" collapsed="false">
      <c r="A42" s="74"/>
      <c r="B42" s="74"/>
      <c r="C42" s="74"/>
      <c r="D42" s="74"/>
      <c r="E42" s="74"/>
      <c r="F42" s="74"/>
    </row>
    <row r="43" customFormat="false" ht="15" hidden="false" customHeight="false" outlineLevel="0" collapsed="false">
      <c r="A43" s="74"/>
      <c r="B43" s="74"/>
      <c r="C43" s="74"/>
      <c r="D43" s="74"/>
      <c r="E43" s="74"/>
      <c r="F43" s="74"/>
    </row>
  </sheetData>
  <mergeCells count="4">
    <mergeCell ref="A1:F1"/>
    <mergeCell ref="A2:F2"/>
    <mergeCell ref="A15:F15"/>
    <mergeCell ref="A41:F43"/>
  </mergeCells>
  <printOptions headings="false" gridLines="false" gridLinesSet="true" horizontalCentered="tru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22"/>
    <col collapsed="false" customWidth="true" hidden="false" outlineLevel="0" max="2" min="2" style="14" width="34"/>
    <col collapsed="false" customWidth="true" hidden="false" outlineLevel="0" max="3" min="3" style="14" width="46"/>
    <col collapsed="false" customWidth="true" hidden="false" outlineLevel="0" max="4" min="4" style="14" width="26"/>
  </cols>
  <sheetData>
    <row r="1" customFormat="false" ht="17.25" hidden="false" customHeight="true" outlineLevel="0" collapsed="false">
      <c r="A1" s="124" t="s">
        <v>389</v>
      </c>
      <c r="B1" s="124"/>
      <c r="C1" s="124"/>
      <c r="D1" s="124"/>
      <c r="E1" s="124"/>
    </row>
    <row r="2" customFormat="false" ht="39.75" hidden="false" customHeight="true" outlineLevel="0" collapsed="false">
      <c r="A2" s="16" t="s">
        <v>390</v>
      </c>
      <c r="B2" s="16"/>
      <c r="C2" s="16"/>
      <c r="D2" s="16"/>
      <c r="E2" s="16"/>
    </row>
    <row r="4" customFormat="false" ht="19.5" hidden="false" customHeight="true" outlineLevel="0" collapsed="false">
      <c r="A4" s="125" t="s">
        <v>391</v>
      </c>
      <c r="B4" s="125"/>
      <c r="C4" s="125"/>
      <c r="D4" s="125"/>
      <c r="E4" s="125"/>
    </row>
    <row r="5" customFormat="false" ht="15" hidden="false" customHeight="true" outlineLevel="0" collapsed="false">
      <c r="A5" s="17" t="s">
        <v>228</v>
      </c>
      <c r="B5" s="17" t="s">
        <v>392</v>
      </c>
      <c r="C5" s="17" t="s">
        <v>393</v>
      </c>
      <c r="D5" s="17" t="s">
        <v>394</v>
      </c>
    </row>
    <row r="6" customFormat="false" ht="27.75" hidden="false" customHeight="true" outlineLevel="0" collapsed="false">
      <c r="A6" s="126" t="s">
        <v>90</v>
      </c>
      <c r="B6" s="127" t="s">
        <v>395</v>
      </c>
      <c r="C6" s="128" t="s">
        <v>396</v>
      </c>
      <c r="D6" s="129" t="s">
        <v>397</v>
      </c>
    </row>
    <row r="7" customFormat="false" ht="27.75" hidden="false" customHeight="true" outlineLevel="0" collapsed="false">
      <c r="A7" s="126" t="s">
        <v>92</v>
      </c>
      <c r="B7" s="127" t="s">
        <v>398</v>
      </c>
      <c r="C7" s="128" t="s">
        <v>399</v>
      </c>
      <c r="D7" s="129" t="s">
        <v>400</v>
      </c>
    </row>
    <row r="8" customFormat="false" ht="27.75" hidden="false" customHeight="true" outlineLevel="0" collapsed="false">
      <c r="A8" s="126" t="s">
        <v>93</v>
      </c>
      <c r="B8" s="127" t="s">
        <v>401</v>
      </c>
      <c r="C8" s="128" t="s">
        <v>402</v>
      </c>
      <c r="D8" s="129" t="s">
        <v>403</v>
      </c>
    </row>
    <row r="9" customFormat="false" ht="27.75" hidden="false" customHeight="true" outlineLevel="0" collapsed="false">
      <c r="A9" s="126" t="s">
        <v>94</v>
      </c>
      <c r="B9" s="127" t="s">
        <v>404</v>
      </c>
      <c r="C9" s="128" t="s">
        <v>405</v>
      </c>
      <c r="D9" s="129" t="s">
        <v>406</v>
      </c>
    </row>
    <row r="10" customFormat="false" ht="27.75" hidden="false" customHeight="true" outlineLevel="0" collapsed="false">
      <c r="A10" s="126" t="s">
        <v>407</v>
      </c>
      <c r="B10" s="127" t="s">
        <v>408</v>
      </c>
      <c r="C10" s="128" t="s">
        <v>409</v>
      </c>
      <c r="D10" s="129" t="s">
        <v>410</v>
      </c>
    </row>
    <row r="11" customFormat="false" ht="27.75" hidden="false" customHeight="true" outlineLevel="0" collapsed="false">
      <c r="A11" s="126" t="s">
        <v>96</v>
      </c>
      <c r="B11" s="127" t="s">
        <v>411</v>
      </c>
      <c r="C11" s="128" t="s">
        <v>412</v>
      </c>
      <c r="D11" s="129" t="s">
        <v>413</v>
      </c>
    </row>
    <row r="12" customFormat="false" ht="27.75" hidden="false" customHeight="true" outlineLevel="0" collapsed="false">
      <c r="A12" s="126" t="s">
        <v>97</v>
      </c>
      <c r="B12" s="127" t="s">
        <v>414</v>
      </c>
      <c r="C12" s="128" t="s">
        <v>415</v>
      </c>
      <c r="D12" s="129" t="s">
        <v>416</v>
      </c>
    </row>
    <row r="13" customFormat="false" ht="27.75" hidden="false" customHeight="true" outlineLevel="0" collapsed="false">
      <c r="A13" s="126" t="s">
        <v>196</v>
      </c>
      <c r="B13" s="127" t="s">
        <v>417</v>
      </c>
      <c r="C13" s="128" t="s">
        <v>418</v>
      </c>
      <c r="D13" s="129" t="s">
        <v>419</v>
      </c>
    </row>
    <row r="15" customFormat="false" ht="19.5" hidden="false" customHeight="true" outlineLevel="0" collapsed="false">
      <c r="A15" s="125" t="s">
        <v>420</v>
      </c>
      <c r="B15" s="125"/>
      <c r="C15" s="125"/>
      <c r="D15" s="125"/>
      <c r="E15" s="125"/>
    </row>
    <row r="16" customFormat="false" ht="15" hidden="false" customHeight="true" outlineLevel="0" collapsed="false">
      <c r="A16" s="17" t="s">
        <v>228</v>
      </c>
      <c r="B16" s="17" t="s">
        <v>392</v>
      </c>
      <c r="C16" s="17" t="s">
        <v>393</v>
      </c>
      <c r="D16" s="17" t="s">
        <v>394</v>
      </c>
    </row>
    <row r="17" customFormat="false" ht="27.75" hidden="false" customHeight="true" outlineLevel="0" collapsed="false">
      <c r="A17" s="126" t="s">
        <v>421</v>
      </c>
      <c r="B17" s="127" t="s">
        <v>422</v>
      </c>
      <c r="C17" s="128" t="s">
        <v>423</v>
      </c>
      <c r="D17" s="129" t="s">
        <v>424</v>
      </c>
    </row>
    <row r="18" customFormat="false" ht="27.75" hidden="false" customHeight="true" outlineLevel="0" collapsed="false">
      <c r="A18" s="126" t="s">
        <v>425</v>
      </c>
      <c r="B18" s="127" t="s">
        <v>426</v>
      </c>
      <c r="C18" s="128" t="s">
        <v>427</v>
      </c>
      <c r="D18" s="129" t="s">
        <v>428</v>
      </c>
    </row>
    <row r="19" customFormat="false" ht="27.75" hidden="false" customHeight="true" outlineLevel="0" collapsed="false">
      <c r="A19" s="126" t="s">
        <v>429</v>
      </c>
      <c r="B19" s="127" t="s">
        <v>430</v>
      </c>
      <c r="C19" s="128" t="s">
        <v>431</v>
      </c>
      <c r="D19" s="129" t="s">
        <v>432</v>
      </c>
    </row>
    <row r="20" customFormat="false" ht="27.75" hidden="false" customHeight="true" outlineLevel="0" collapsed="false">
      <c r="A20" s="126" t="s">
        <v>433</v>
      </c>
      <c r="B20" s="127" t="s">
        <v>434</v>
      </c>
      <c r="C20" s="128" t="s">
        <v>435</v>
      </c>
      <c r="D20" s="129" t="s">
        <v>436</v>
      </c>
    </row>
    <row r="22" customFormat="false" ht="19.5" hidden="false" customHeight="true" outlineLevel="0" collapsed="false">
      <c r="A22" s="125" t="s">
        <v>437</v>
      </c>
      <c r="B22" s="125"/>
      <c r="C22" s="125"/>
      <c r="D22" s="125"/>
      <c r="E22" s="125"/>
    </row>
    <row r="23" customFormat="false" ht="15" hidden="false" customHeight="true" outlineLevel="0" collapsed="false">
      <c r="A23" s="17" t="s">
        <v>228</v>
      </c>
      <c r="B23" s="17" t="s">
        <v>392</v>
      </c>
      <c r="C23" s="17" t="s">
        <v>393</v>
      </c>
      <c r="D23" s="17" t="s">
        <v>394</v>
      </c>
    </row>
    <row r="24" customFormat="false" ht="27.75" hidden="false" customHeight="true" outlineLevel="0" collapsed="false">
      <c r="A24" s="126" t="s">
        <v>438</v>
      </c>
      <c r="B24" s="127" t="s">
        <v>439</v>
      </c>
      <c r="C24" s="128" t="s">
        <v>440</v>
      </c>
      <c r="D24" s="129" t="s">
        <v>441</v>
      </c>
    </row>
    <row r="26" customFormat="false" ht="19.5" hidden="false" customHeight="true" outlineLevel="0" collapsed="false">
      <c r="A26" s="125" t="s">
        <v>442</v>
      </c>
      <c r="B26" s="125"/>
      <c r="C26" s="125"/>
      <c r="D26" s="125"/>
      <c r="E26" s="125"/>
    </row>
    <row r="27" customFormat="false" ht="15" hidden="false" customHeight="true" outlineLevel="0" collapsed="false">
      <c r="A27" s="17" t="s">
        <v>228</v>
      </c>
      <c r="B27" s="17" t="s">
        <v>392</v>
      </c>
      <c r="C27" s="17" t="s">
        <v>393</v>
      </c>
      <c r="D27" s="17" t="s">
        <v>394</v>
      </c>
    </row>
    <row r="28" customFormat="false" ht="27.75" hidden="false" customHeight="true" outlineLevel="0" collapsed="false">
      <c r="A28" s="126" t="s">
        <v>443</v>
      </c>
      <c r="B28" s="127" t="s">
        <v>444</v>
      </c>
      <c r="C28" s="128" t="s">
        <v>445</v>
      </c>
      <c r="D28" s="129" t="s">
        <v>446</v>
      </c>
    </row>
    <row r="29" customFormat="false" ht="27.75" hidden="false" customHeight="true" outlineLevel="0" collapsed="false">
      <c r="A29" s="126" t="s">
        <v>447</v>
      </c>
      <c r="B29" s="127" t="s">
        <v>448</v>
      </c>
      <c r="C29" s="128" t="s">
        <v>449</v>
      </c>
      <c r="D29" s="129" t="s">
        <v>450</v>
      </c>
    </row>
    <row r="30" customFormat="false" ht="27.75" hidden="false" customHeight="true" outlineLevel="0" collapsed="false">
      <c r="A30" s="126" t="s">
        <v>451</v>
      </c>
      <c r="B30" s="127" t="s">
        <v>452</v>
      </c>
      <c r="C30" s="128" t="s">
        <v>453</v>
      </c>
      <c r="D30" s="129" t="s">
        <v>450</v>
      </c>
    </row>
    <row r="32" customFormat="false" ht="19.5" hidden="false" customHeight="true" outlineLevel="0" collapsed="false">
      <c r="A32" s="125" t="s">
        <v>454</v>
      </c>
      <c r="B32" s="125"/>
      <c r="C32" s="125"/>
      <c r="D32" s="125"/>
      <c r="E32" s="125"/>
    </row>
    <row r="33" customFormat="false" ht="30" hidden="false" customHeight="true" outlineLevel="0" collapsed="false">
      <c r="A33" s="126" t="s">
        <v>455</v>
      </c>
      <c r="B33" s="127" t="s">
        <v>456</v>
      </c>
      <c r="C33" s="130" t="s">
        <v>457</v>
      </c>
      <c r="D33" s="131" t="s">
        <v>458</v>
      </c>
    </row>
    <row r="34" customFormat="false" ht="30" hidden="false" customHeight="true" outlineLevel="0" collapsed="false">
      <c r="A34" s="27" t="s">
        <v>459</v>
      </c>
      <c r="B34" s="4" t="s">
        <v>460</v>
      </c>
      <c r="C34" s="130" t="s">
        <v>461</v>
      </c>
      <c r="D34" s="131" t="s">
        <v>462</v>
      </c>
    </row>
    <row r="35" customFormat="false" ht="30" hidden="false" customHeight="true" outlineLevel="0" collapsed="false">
      <c r="A35" s="27" t="s">
        <v>463</v>
      </c>
      <c r="B35" s="4" t="s">
        <v>464</v>
      </c>
      <c r="C35" s="130" t="s">
        <v>465</v>
      </c>
      <c r="D35" s="131" t="s">
        <v>466</v>
      </c>
    </row>
    <row r="36" customFormat="false" ht="30" hidden="false" customHeight="true" outlineLevel="0" collapsed="false">
      <c r="A36" s="27" t="s">
        <v>98</v>
      </c>
      <c r="B36" s="4" t="s">
        <v>467</v>
      </c>
      <c r="C36" s="130" t="s">
        <v>468</v>
      </c>
      <c r="D36" s="131" t="s">
        <v>469</v>
      </c>
    </row>
    <row r="37" customFormat="false" ht="30" hidden="false" customHeight="true" outlineLevel="0" collapsed="false">
      <c r="A37" s="27" t="s">
        <v>470</v>
      </c>
      <c r="B37" s="4" t="s">
        <v>471</v>
      </c>
      <c r="C37" s="130" t="s">
        <v>472</v>
      </c>
      <c r="D37" s="131" t="s">
        <v>473</v>
      </c>
    </row>
    <row r="39" customFormat="false" ht="15" hidden="false" customHeight="true" outlineLevel="0" collapsed="false">
      <c r="A39" s="125" t="s">
        <v>474</v>
      </c>
      <c r="B39" s="125"/>
      <c r="C39" s="125"/>
      <c r="D39" s="125"/>
      <c r="E39" s="125"/>
    </row>
    <row r="40" customFormat="false" ht="15" hidden="false" customHeight="true" outlineLevel="0" collapsed="false">
      <c r="A40" s="17" t="s">
        <v>228</v>
      </c>
      <c r="B40" s="17" t="s">
        <v>392</v>
      </c>
      <c r="C40" s="17" t="s">
        <v>393</v>
      </c>
      <c r="D40" s="17" t="s">
        <v>394</v>
      </c>
    </row>
    <row r="41" customFormat="false" ht="23.25" hidden="false" customHeight="true" outlineLevel="0" collapsed="false">
      <c r="A41" s="27" t="s">
        <v>475</v>
      </c>
      <c r="B41" s="4" t="s">
        <v>476</v>
      </c>
      <c r="C41" s="130" t="s">
        <v>477</v>
      </c>
      <c r="D41" s="131" t="s">
        <v>478</v>
      </c>
    </row>
    <row r="42" customFormat="false" ht="23.25" hidden="false" customHeight="true" outlineLevel="0" collapsed="false">
      <c r="A42" s="27" t="s">
        <v>479</v>
      </c>
      <c r="B42" s="4" t="s">
        <v>480</v>
      </c>
      <c r="C42" s="130" t="s">
        <v>481</v>
      </c>
      <c r="D42" s="131" t="s">
        <v>482</v>
      </c>
    </row>
    <row r="43" customFormat="false" ht="23.25" hidden="false" customHeight="true" outlineLevel="0" collapsed="false">
      <c r="A43" s="27" t="s">
        <v>483</v>
      </c>
      <c r="B43" s="4" t="s">
        <v>484</v>
      </c>
      <c r="C43" s="130" t="s">
        <v>485</v>
      </c>
      <c r="D43" s="131" t="s">
        <v>486</v>
      </c>
    </row>
    <row r="44" customFormat="false" ht="23.25" hidden="false" customHeight="true" outlineLevel="0" collapsed="false">
      <c r="A44" s="27" t="s">
        <v>487</v>
      </c>
      <c r="B44" s="4" t="s">
        <v>488</v>
      </c>
      <c r="C44" s="130" t="s">
        <v>489</v>
      </c>
      <c r="D44" s="131" t="s">
        <v>490</v>
      </c>
    </row>
    <row r="45" customFormat="false" ht="23.25" hidden="false" customHeight="true" outlineLevel="0" collapsed="false">
      <c r="A45" s="27" t="s">
        <v>208</v>
      </c>
      <c r="B45" s="4" t="s">
        <v>491</v>
      </c>
      <c r="C45" s="130" t="s">
        <v>492</v>
      </c>
      <c r="D45" s="131" t="s">
        <v>490</v>
      </c>
    </row>
  </sheetData>
  <mergeCells count="8">
    <mergeCell ref="A1:E1"/>
    <mergeCell ref="A2:E2"/>
    <mergeCell ref="A4:E4"/>
    <mergeCell ref="A15:E15"/>
    <mergeCell ref="A22:E22"/>
    <mergeCell ref="A26:E26"/>
    <mergeCell ref="A32:E32"/>
    <mergeCell ref="A39:E39"/>
  </mergeCells>
  <printOptions headings="false" gridLines="false" gridLinesSet="true" horizontalCentered="true" verticalCentered="false"/>
  <pageMargins left="0.4" right="0.4" top="0.6" bottom="0.6"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Capital Structure Analysis — Excel Workings&amp;C&amp;8 &amp;A&amp;R&amp;8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2026-09-26T04:03:19Z</dcterms:created>
  <dc:creator>Nikhilranjan Jha; Piyush Gharte; Chandan Tejnani; Prantik Mukherjee; Gravit Goyal</dc:creator>
  <dc:description/>
  <dc:language>en-US</dc:language>
  <cp:lastModifiedBy>Chandan Tejnani</cp:lastModifiedBy>
  <dcterms:modified xsi:type="dcterms:W3CDTF">2026-09-27T11:54:11Z</dcterms:modified>
  <cp:revision>0</cp:revision>
  <dc:subject>SY Corporate Finance — Textile and Apparel Sector (India)</dc:subject>
  <dc:title>Capital Structure Analysis — Excel Workings</dc:title>
</cp:coreProperties>
</file>

<file path=docProps/custom.xml><?xml version="1.0" encoding="utf-8"?>
<Properties xmlns="http://schemas.openxmlformats.org/officeDocument/2006/custom-properties" xmlns:vt="http://schemas.openxmlformats.org/officeDocument/2006/docPropsVTypes"/>
</file>